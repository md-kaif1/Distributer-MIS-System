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e3e8cb2a579b24/Desktop/"/>
    </mc:Choice>
  </mc:AlternateContent>
  <xr:revisionPtr revIDLastSave="0" documentId="14_{93D81BFF-9917-441C-B8AB-5CBECAD70C4C}" xr6:coauthVersionLast="47" xr6:coauthVersionMax="47" xr10:uidLastSave="{00000000-0000-0000-0000-000000000000}"/>
  <bookViews>
    <workbookView xWindow="11532" yWindow="108" windowWidth="11460" windowHeight="11820" firstSheet="1" activeTab="2" xr2:uid="{C2586AD7-498C-4B11-B542-248C83F142CB}"/>
  </bookViews>
  <sheets>
    <sheet name="Sheet3" sheetId="3" r:id="rId1"/>
    <sheet name="Distributor_Row_Data" sheetId="1" r:id="rId2"/>
    <sheet name="Sheet2" sheetId="2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4" i="2" l="1"/>
  <c r="F75" i="2"/>
  <c r="F76" i="2"/>
  <c r="F73" i="2"/>
  <c r="E74" i="2"/>
  <c r="E75" i="2"/>
  <c r="E76" i="2"/>
  <c r="E73" i="2"/>
  <c r="D74" i="2"/>
  <c r="D75" i="2"/>
  <c r="D76" i="2"/>
  <c r="D73" i="2"/>
  <c r="C74" i="2"/>
  <c r="C75" i="2"/>
  <c r="C76" i="2"/>
  <c r="C73" i="2"/>
  <c r="F64" i="2"/>
  <c r="F65" i="2"/>
  <c r="F66" i="2"/>
  <c r="F67" i="2"/>
  <c r="F68" i="2"/>
  <c r="F63" i="2"/>
  <c r="E64" i="2"/>
  <c r="E65" i="2"/>
  <c r="E66" i="2"/>
  <c r="E67" i="2"/>
  <c r="E68" i="2"/>
  <c r="E63" i="2"/>
  <c r="C64" i="2"/>
  <c r="C65" i="2"/>
  <c r="C66" i="2"/>
  <c r="C67" i="2"/>
  <c r="C68" i="2"/>
  <c r="C63" i="2"/>
  <c r="H50" i="2"/>
  <c r="H51" i="2"/>
  <c r="H52" i="2" s="1"/>
  <c r="H53" i="2" s="1"/>
  <c r="H54" i="2" s="1"/>
  <c r="H55" i="2" s="1"/>
  <c r="H56" i="2" s="1"/>
  <c r="H57" i="2" s="1"/>
  <c r="H58" i="2" s="1"/>
  <c r="H59" i="2" s="1"/>
  <c r="H48" i="2"/>
  <c r="H49" i="2" s="1"/>
  <c r="O2" i="1"/>
  <c r="O3" i="1"/>
  <c r="O4" i="1"/>
  <c r="O5" i="1"/>
  <c r="O6" i="1"/>
  <c r="O7" i="1"/>
  <c r="O8" i="1"/>
  <c r="O9" i="1"/>
  <c r="E51" i="2" s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E54" i="2" s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E48" i="2" s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E52" i="2" s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E49" i="2"/>
  <c r="E50" i="2"/>
  <c r="E56" i="2"/>
  <c r="E57" i="2"/>
  <c r="E58" i="2"/>
  <c r="D55" i="2"/>
  <c r="G32" i="2"/>
  <c r="G33" i="2"/>
  <c r="G34" i="2"/>
  <c r="G35" i="2"/>
  <c r="G36" i="2"/>
  <c r="G37" i="2"/>
  <c r="G38" i="2"/>
  <c r="G39" i="2"/>
  <c r="G40" i="2"/>
  <c r="G41" i="2"/>
  <c r="G42" i="2"/>
  <c r="G43" i="2"/>
  <c r="G31" i="2"/>
  <c r="F33" i="2"/>
  <c r="F34" i="2"/>
  <c r="F35" i="2"/>
  <c r="F36" i="2"/>
  <c r="F37" i="2"/>
  <c r="F41" i="2"/>
  <c r="F42" i="2"/>
  <c r="F43" i="2"/>
  <c r="F31" i="2"/>
  <c r="E32" i="2"/>
  <c r="F32" i="2" s="1"/>
  <c r="E33" i="2"/>
  <c r="E34" i="2"/>
  <c r="E35" i="2"/>
  <c r="E36" i="2"/>
  <c r="E37" i="2"/>
  <c r="E38" i="2"/>
  <c r="E39" i="2"/>
  <c r="F39" i="2" s="1"/>
  <c r="E40" i="2"/>
  <c r="F40" i="2" s="1"/>
  <c r="E41" i="2"/>
  <c r="E42" i="2"/>
  <c r="E43" i="2"/>
  <c r="E31" i="2"/>
  <c r="D32" i="2"/>
  <c r="D33" i="2"/>
  <c r="D34" i="2"/>
  <c r="D35" i="2"/>
  <c r="D36" i="2"/>
  <c r="D37" i="2"/>
  <c r="D38" i="2"/>
  <c r="D39" i="2"/>
  <c r="D40" i="2"/>
  <c r="D41" i="2"/>
  <c r="D42" i="2"/>
  <c r="D43" i="2"/>
  <c r="D31" i="2"/>
  <c r="C32" i="2"/>
  <c r="C33" i="2"/>
  <c r="C34" i="2"/>
  <c r="C35" i="2"/>
  <c r="C36" i="2"/>
  <c r="C37" i="2"/>
  <c r="C38" i="2"/>
  <c r="F38" i="2" s="1"/>
  <c r="C39" i="2"/>
  <c r="C40" i="2"/>
  <c r="C41" i="2"/>
  <c r="C42" i="2"/>
  <c r="C43" i="2"/>
  <c r="C31" i="2"/>
  <c r="F20" i="2"/>
  <c r="F21" i="2"/>
  <c r="F22" i="2"/>
  <c r="F23" i="2"/>
  <c r="F24" i="2"/>
  <c r="F25" i="2"/>
  <c r="F26" i="2"/>
  <c r="F19" i="2"/>
  <c r="E20" i="2"/>
  <c r="E21" i="2"/>
  <c r="E22" i="2"/>
  <c r="E23" i="2"/>
  <c r="E24" i="2"/>
  <c r="E25" i="2"/>
  <c r="E26" i="2"/>
  <c r="E19" i="2"/>
  <c r="D20" i="2"/>
  <c r="D21" i="2"/>
  <c r="I21" i="2" s="1"/>
  <c r="D22" i="2"/>
  <c r="D23" i="2"/>
  <c r="D24" i="2"/>
  <c r="D25" i="2"/>
  <c r="D26" i="2"/>
  <c r="D19" i="2"/>
  <c r="C20" i="2"/>
  <c r="C21" i="2"/>
  <c r="C22" i="2"/>
  <c r="C23" i="2"/>
  <c r="C24" i="2"/>
  <c r="C25" i="2"/>
  <c r="C26" i="2"/>
  <c r="C19" i="2"/>
  <c r="C11" i="2"/>
  <c r="C14" i="2"/>
  <c r="C13" i="2"/>
  <c r="C8" i="2"/>
  <c r="C7" i="2"/>
  <c r="C9" i="2"/>
  <c r="D67" i="2" l="1"/>
  <c r="D66" i="2"/>
  <c r="D65" i="2"/>
  <c r="D64" i="2"/>
  <c r="D68" i="2"/>
  <c r="D63" i="2"/>
  <c r="E55" i="2"/>
  <c r="C54" i="2"/>
  <c r="F54" i="2" s="1"/>
  <c r="E53" i="2"/>
  <c r="E59" i="2"/>
  <c r="C50" i="2"/>
  <c r="C52" i="2"/>
  <c r="C51" i="2"/>
  <c r="C58" i="2"/>
  <c r="C57" i="2"/>
  <c r="C49" i="2"/>
  <c r="C53" i="2"/>
  <c r="D53" i="2"/>
  <c r="D52" i="2"/>
  <c r="D59" i="2"/>
  <c r="D58" i="2"/>
  <c r="D49" i="2"/>
  <c r="C56" i="2"/>
  <c r="D51" i="2"/>
  <c r="C59" i="2"/>
  <c r="D48" i="2"/>
  <c r="D50" i="2"/>
  <c r="D57" i="2"/>
  <c r="C48" i="2"/>
  <c r="C55" i="2"/>
  <c r="D54" i="2"/>
  <c r="D56" i="2"/>
  <c r="H26" i="2"/>
  <c r="H24" i="2"/>
  <c r="I25" i="2"/>
  <c r="I23" i="2"/>
  <c r="I20" i="2"/>
  <c r="I24" i="2"/>
  <c r="H22" i="2"/>
  <c r="G21" i="2"/>
  <c r="I22" i="2"/>
  <c r="H21" i="2"/>
  <c r="G20" i="2"/>
  <c r="H20" i="2"/>
  <c r="G19" i="2"/>
  <c r="H19" i="2"/>
  <c r="G25" i="2"/>
  <c r="I26" i="2"/>
  <c r="H25" i="2"/>
  <c r="C10" i="2"/>
  <c r="G24" i="2"/>
  <c r="G26" i="2"/>
  <c r="I19" i="2"/>
  <c r="G23" i="2"/>
  <c r="H23" i="2"/>
  <c r="G22" i="2"/>
  <c r="C15" i="2"/>
  <c r="C12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F49" i="2" l="1"/>
  <c r="G49" i="2"/>
  <c r="F56" i="2"/>
  <c r="G56" i="2"/>
  <c r="G57" i="2"/>
  <c r="F57" i="2"/>
  <c r="F55" i="2"/>
  <c r="G55" i="2"/>
  <c r="F58" i="2"/>
  <c r="G58" i="2"/>
  <c r="F48" i="2"/>
  <c r="G48" i="2"/>
  <c r="F51" i="2"/>
  <c r="G51" i="2"/>
  <c r="F52" i="2"/>
  <c r="G52" i="2"/>
  <c r="F50" i="2"/>
  <c r="G50" i="2"/>
  <c r="F59" i="2"/>
  <c r="G59" i="2"/>
  <c r="F53" i="2"/>
  <c r="G53" i="2"/>
  <c r="G54" i="2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3D8BDF-20A3-490C-A570-3E80A3E12680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  <connection id="2" xr16:uid="{AB857EFF-0D42-4318-86BD-BCE25ADF2205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3" xr16:uid="{84F2BE63-DA0D-4AB0-9D6D-6172827EDB4E}" keepAlive="1" name="Query - Table2 (2)" description="Connection to the 'Table2 (2)' query in the workbook." type="5" refreshedVersion="0" background="1" saveData="1">
    <dbPr connection="Provider=Microsoft.Mashup.OleDb.1;Data Source=$Workbook$;Location=&quot;Table2 (2)&quot;;Extended Properties=&quot;&quot;" command="SELECT * FROM [Table2 (2)]"/>
  </connection>
  <connection id="4" xr16:uid="{0B6FB042-7AB0-40A0-AC93-954D7454A4C4}" odcFile="C:\Users\kaif3\OneDrive\Documents\My Data Sources\Query - Table2_1.odc" keepAlive="1" name="Query - Table2_1" description="Connection to the 'Table2_1' query in the workbook." type="5" refreshedVersion="8" background="1" saveData="1">
    <dbPr connection="Provider=Microsoft.Mashup.OleDb.1;Data Source=$Workbook$;Location=Table2_1;Extended Properties=&quot;&quot;" command="SELECT * FROM [Table2_1]"/>
  </connection>
  <connection id="5" xr16:uid="{9A933DEE-31F6-4B2D-A5DE-974350485AF7}" keepAlive="1" name="Query - Table3" description="Connection to the 'Table3' query in the workbook." type="5" refreshedVersion="0" background="1" saveData="1">
    <dbPr connection="Provider=Microsoft.Mashup.OleDb.1;Data Source=$Workbook$;Location=Table3;Extended Properties=&quot;&quot;" command="SELECT * FROM [Table3]"/>
  </connection>
  <connection id="6" xr16:uid="{DCBB8BA9-71E8-42E7-9FB1-00DB515CF719}" keepAlive="1" name="Query - Table4" description="Connection to the 'Table4' query in the workbook." type="5" refreshedVersion="0" background="1" saveData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<sst xmlns="http://schemas.openxmlformats.org/spreadsheetml/2006/main" count="6416" uniqueCount="1018">
  <si>
    <t>Date</t>
  </si>
  <si>
    <t>Order_ID</t>
  </si>
  <si>
    <t>Salesperson</t>
  </si>
  <si>
    <t>City</t>
  </si>
  <si>
    <t>Product</t>
  </si>
  <si>
    <t>Category</t>
  </si>
  <si>
    <t>Quantity</t>
  </si>
  <si>
    <t>Sales</t>
  </si>
  <si>
    <t>Target</t>
  </si>
  <si>
    <t>Status</t>
  </si>
  <si>
    <t>Payment_Method</t>
  </si>
  <si>
    <t>ORD-10163</t>
  </si>
  <si>
    <t>Sneha Iyer</t>
  </si>
  <si>
    <t>Lucknow</t>
  </si>
  <si>
    <t>Cola 2L</t>
  </si>
  <si>
    <t>Beverages</t>
  </si>
  <si>
    <t>Cancelled</t>
  </si>
  <si>
    <t>Credit</t>
  </si>
  <si>
    <t>ORD-10825</t>
  </si>
  <si>
    <t>Delhi</t>
  </si>
  <si>
    <t>Potato Chips 100g</t>
  </si>
  <si>
    <t>Snacks</t>
  </si>
  <si>
    <t>Delivered</t>
  </si>
  <si>
    <t>Bank Transfer</t>
  </si>
  <si>
    <t>ORD-10278</t>
  </si>
  <si>
    <t>Arjun Nair</t>
  </si>
  <si>
    <t>Jaipur</t>
  </si>
  <si>
    <t>Energy Drink 250ml</t>
  </si>
  <si>
    <t>ORD-10318</t>
  </si>
  <si>
    <t>Namkeen 200g</t>
  </si>
  <si>
    <t>Cash</t>
  </si>
  <si>
    <t>ORD-10664</t>
  </si>
  <si>
    <t>Priya Mehta</t>
  </si>
  <si>
    <t>Milk 1L</t>
  </si>
  <si>
    <t>Dairy</t>
  </si>
  <si>
    <t>ORD-10725</t>
  </si>
  <si>
    <t>UPI</t>
  </si>
  <si>
    <t>ORD-10869</t>
  </si>
  <si>
    <t>Amit Verma</t>
  </si>
  <si>
    <t>Pending</t>
  </si>
  <si>
    <t>ORD-10529</t>
  </si>
  <si>
    <t>Cookies 150g</t>
  </si>
  <si>
    <t>ORD-10627</t>
  </si>
  <si>
    <t>Rahul Sharma</t>
  </si>
  <si>
    <t>Paneer 200g</t>
  </si>
  <si>
    <t>ORD-10154</t>
  </si>
  <si>
    <t>ORD-10271</t>
  </si>
  <si>
    <t>Pune</t>
  </si>
  <si>
    <t>Orange Juice 1L</t>
  </si>
  <si>
    <t>ORD-10489</t>
  </si>
  <si>
    <t>Vikram Singh</t>
  </si>
  <si>
    <t>ORD-10247</t>
  </si>
  <si>
    <t>ORD-10298</t>
  </si>
  <si>
    <t>Mumbai</t>
  </si>
  <si>
    <t>ORD-10503</t>
  </si>
  <si>
    <t>ORD-10535</t>
  </si>
  <si>
    <t>ORD-10845</t>
  </si>
  <si>
    <t>Neha Gupta</t>
  </si>
  <si>
    <t>Floor Cleaner 1L</t>
  </si>
  <si>
    <t>Household</t>
  </si>
  <si>
    <t>ORD-10147</t>
  </si>
  <si>
    <t>Detergent 1kg</t>
  </si>
  <si>
    <t>ORD-10210</t>
  </si>
  <si>
    <t>ORD-10383</t>
  </si>
  <si>
    <t>ORD-10572</t>
  </si>
  <si>
    <t>Ahmedabad</t>
  </si>
  <si>
    <t>ORD-10573</t>
  </si>
  <si>
    <t>ORD-10667</t>
  </si>
  <si>
    <t>Curd 500g</t>
  </si>
  <si>
    <t>ORD-10695</t>
  </si>
  <si>
    <t>ORD-10702</t>
  </si>
  <si>
    <t>ORD-10797</t>
  </si>
  <si>
    <t>ORD-10360</t>
  </si>
  <si>
    <t>ORD-10067</t>
  </si>
  <si>
    <t>ORD-10245</t>
  </si>
  <si>
    <t>ORD-10444</t>
  </si>
  <si>
    <t>ORD-10567</t>
  </si>
  <si>
    <t>ORD-10314</t>
  </si>
  <si>
    <t>ORD-10560</t>
  </si>
  <si>
    <t>ORD-10496</t>
  </si>
  <si>
    <t>ORD-10521</t>
  </si>
  <si>
    <t>ORD-10760</t>
  </si>
  <si>
    <t>ORD-10793</t>
  </si>
  <si>
    <t>ORD-10808</t>
  </si>
  <si>
    <t>ORD-10820</t>
  </si>
  <si>
    <t>ORD-10764</t>
  </si>
  <si>
    <t>ORD-10158</t>
  </si>
  <si>
    <t>ORD-10660</t>
  </si>
  <si>
    <t>ORD-10356</t>
  </si>
  <si>
    <t>ORD-10593</t>
  </si>
  <si>
    <t>ORD-10800</t>
  </si>
  <si>
    <t>Kavita Rao</t>
  </si>
  <si>
    <t>ORD-10378</t>
  </si>
  <si>
    <t>ORD-10571</t>
  </si>
  <si>
    <t>ORD-10091</t>
  </si>
  <si>
    <t>ORD-10362</t>
  </si>
  <si>
    <t>ORD-10462</t>
  </si>
  <si>
    <t>ORD-10591</t>
  </si>
  <si>
    <t>ORD-10692</t>
  </si>
  <si>
    <t>ORD-10213</t>
  </si>
  <si>
    <t>ORD-10523</t>
  </si>
  <si>
    <t>ORD-10616</t>
  </si>
  <si>
    <t>ORD-10666</t>
  </si>
  <si>
    <t>ORD-10673</t>
  </si>
  <si>
    <t>ORD-10687</t>
  </si>
  <si>
    <t>ORD-10753</t>
  </si>
  <si>
    <t>ORD-10794</t>
  </si>
  <si>
    <t>ORD-10899</t>
  </si>
  <si>
    <t>ORD-10214</t>
  </si>
  <si>
    <t>ORD-10643</t>
  </si>
  <si>
    <t>ORD-10893</t>
  </si>
  <si>
    <t>ORD-10512</t>
  </si>
  <si>
    <t>ORD-10796</t>
  </si>
  <si>
    <t>ORD-10505</t>
  </si>
  <si>
    <t>ORD-10832</t>
  </si>
  <si>
    <t>ORD-10048</t>
  </si>
  <si>
    <t>ORD-10049</t>
  </si>
  <si>
    <t>ORD-10050</t>
  </si>
  <si>
    <t>ORD-10140</t>
  </si>
  <si>
    <t>ORD-10189</t>
  </si>
  <si>
    <t>ORD-10219</t>
  </si>
  <si>
    <t>ORD-10267</t>
  </si>
  <si>
    <t>ORD-10150</t>
  </si>
  <si>
    <t>Dish Bar 200g</t>
  </si>
  <si>
    <t>ORD-10411</t>
  </si>
  <si>
    <t>ORD-10655</t>
  </si>
  <si>
    <t>ORD-10719</t>
  </si>
  <si>
    <t>ORD-10771</t>
  </si>
  <si>
    <t>ORD-10840</t>
  </si>
  <si>
    <t>ORD-10428</t>
  </si>
  <si>
    <t>ORD-10619</t>
  </si>
  <si>
    <t>ORD-10835</t>
  </si>
  <si>
    <t>ORD-10032</t>
  </si>
  <si>
    <t>ORD-10198</t>
  </si>
  <si>
    <t>ORD-10006</t>
  </si>
  <si>
    <t>ORD-10083</t>
  </si>
  <si>
    <t>ORD-10325</t>
  </si>
  <si>
    <t>ORD-10552</t>
  </si>
  <si>
    <t>ORD-10790</t>
  </si>
  <si>
    <t>ORD-10676</t>
  </si>
  <si>
    <t>ORD-10788</t>
  </si>
  <si>
    <t>ORD-10016</t>
  </si>
  <si>
    <t>ORD-10510</t>
  </si>
  <si>
    <t>ORD-10133</t>
  </si>
  <si>
    <t>ORD-10162</t>
  </si>
  <si>
    <t>ORD-10442</t>
  </si>
  <si>
    <t>ORD-10581</t>
  </si>
  <si>
    <t>ORD-10803</t>
  </si>
  <si>
    <t>ORD-10480</t>
  </si>
  <si>
    <t>ORD-10615</t>
  </si>
  <si>
    <t>ORD-10459</t>
  </si>
  <si>
    <t>ORD-10066</t>
  </si>
  <si>
    <t>ORD-10415</t>
  </si>
  <si>
    <t>ORD-10467</t>
  </si>
  <si>
    <t>ORD-10684</t>
  </si>
  <si>
    <t>ORD-10184</t>
  </si>
  <si>
    <t>ORD-10226</t>
  </si>
  <si>
    <t>ORD-10249</t>
  </si>
  <si>
    <t>ORD-10879</t>
  </si>
  <si>
    <t>ORD-10218</t>
  </si>
  <si>
    <t>ORD-10221</t>
  </si>
  <si>
    <t>ORD-10663</t>
  </si>
  <si>
    <t>ORD-10306</t>
  </si>
  <si>
    <t>ORD-10622</t>
  </si>
  <si>
    <t>ORD-10716</t>
  </si>
  <si>
    <t>ORD-10877</t>
  </si>
  <si>
    <t>ORD-10257</t>
  </si>
  <si>
    <t>ORD-10280</t>
  </si>
  <si>
    <t>ORD-10468</t>
  </si>
  <si>
    <t>ORD-10888</t>
  </si>
  <si>
    <t>ORD-10143</t>
  </si>
  <si>
    <t>ORD-10427</t>
  </si>
  <si>
    <t>ORD-10525</t>
  </si>
  <si>
    <t>ORD-10465</t>
  </si>
  <si>
    <t>ORD-10674</t>
  </si>
  <si>
    <t>ORD-10851</t>
  </si>
  <si>
    <t>ORD-10078</t>
  </si>
  <si>
    <t>ORD-10508</t>
  </si>
  <si>
    <t>ORD-10613</t>
  </si>
  <si>
    <t>ORD-10474</t>
  </si>
  <si>
    <t>ORD-10697</t>
  </si>
  <si>
    <t>ORD-10366</t>
  </si>
  <si>
    <t>ORD-10871</t>
  </si>
  <si>
    <t>ORD-10089</t>
  </si>
  <si>
    <t>ORD-10296</t>
  </si>
  <si>
    <t>ORD-10579</t>
  </si>
  <si>
    <t>ORD-10478</t>
  </si>
  <si>
    <t>ORD-10485</t>
  </si>
  <si>
    <t>ORD-10009</t>
  </si>
  <si>
    <t>ORD-10688</t>
  </si>
  <si>
    <t>ORD-10112</t>
  </si>
  <si>
    <t>ORD-10396</t>
  </si>
  <si>
    <t>ORD-10339</t>
  </si>
  <si>
    <t>ORD-10556</t>
  </si>
  <si>
    <t>ORD-10698</t>
  </si>
  <si>
    <t>ORD-10183</t>
  </si>
  <si>
    <t>ORD-10410</t>
  </si>
  <si>
    <t>ORD-10626</t>
  </si>
  <si>
    <t>ORD-10231</t>
  </si>
  <si>
    <t>ORD-10519</t>
  </si>
  <si>
    <t>ORD-10789</t>
  </si>
  <si>
    <t>ORD-10792</t>
  </si>
  <si>
    <t>ORD-10745</t>
  </si>
  <si>
    <t>ORD-10747</t>
  </si>
  <si>
    <t>ORD-10025</t>
  </si>
  <si>
    <t>ORD-10161</t>
  </si>
  <si>
    <t>ORD-10191</t>
  </si>
  <si>
    <t>ORD-10846</t>
  </si>
  <si>
    <t>ORD-10051</t>
  </si>
  <si>
    <t>ORD-10373</t>
  </si>
  <si>
    <t>ORD-10101</t>
  </si>
  <si>
    <t>ORD-10258</t>
  </si>
  <si>
    <t>ORD-10807</t>
  </si>
  <si>
    <t>ORD-10518</t>
  </si>
  <si>
    <t>ORD-10754</t>
  </si>
  <si>
    <t>ORD-10768</t>
  </si>
  <si>
    <t>ORD-10778</t>
  </si>
  <si>
    <t>ORD-10801</t>
  </si>
  <si>
    <t>ORD-10864</t>
  </si>
  <si>
    <t>ORD-10841</t>
  </si>
  <si>
    <t>ORD-10135</t>
  </si>
  <si>
    <t>ORD-10355</t>
  </si>
  <si>
    <t>ORD-10798</t>
  </si>
  <si>
    <t>ORD-10202</t>
  </si>
  <si>
    <t>ORD-10114</t>
  </si>
  <si>
    <t>ORD-10326</t>
  </si>
  <si>
    <t>ORD-10389</t>
  </si>
  <si>
    <t>ORD-10629</t>
  </si>
  <si>
    <t>ORD-10224</t>
  </si>
  <si>
    <t>ORD-10233</t>
  </si>
  <si>
    <t>ORD-10828</t>
  </si>
  <si>
    <t>ORD-10882</t>
  </si>
  <si>
    <t>ORD-10022</t>
  </si>
  <si>
    <t>ORD-10043</t>
  </si>
  <si>
    <t>ORD-10169</t>
  </si>
  <si>
    <t>ORD-10330</t>
  </si>
  <si>
    <t>ORD-10435</t>
  </si>
  <si>
    <t>ORD-10482</t>
  </si>
  <si>
    <t>ORD-10848</t>
  </si>
  <si>
    <t>ORD-10056</t>
  </si>
  <si>
    <t>ORD-10839</t>
  </si>
  <si>
    <t>ORD-10172</t>
  </si>
  <si>
    <t>ORD-10261</t>
  </si>
  <si>
    <t>ORD-10569</t>
  </si>
  <si>
    <t>ORD-10141</t>
  </si>
  <si>
    <t>ORD-10188</t>
  </si>
  <si>
    <t>ORD-10533</t>
  </si>
  <si>
    <t>ORD-10079</t>
  </si>
  <si>
    <t>ORD-10082</t>
  </si>
  <si>
    <t>ORD-10850</t>
  </si>
  <si>
    <t>ORD-10507</t>
  </si>
  <si>
    <t>ORD-10023</t>
  </si>
  <si>
    <t>ORD-10080</t>
  </si>
  <si>
    <t>ORD-10164</t>
  </si>
  <si>
    <t>ORD-10304</t>
  </si>
  <si>
    <t>ORD-10548</t>
  </si>
  <si>
    <t>ORD-10574</t>
  </si>
  <si>
    <t>ORD-10633</t>
  </si>
  <si>
    <t>ORD-10011</t>
  </si>
  <si>
    <t>ORD-10107</t>
  </si>
  <si>
    <t>ORD-10632</t>
  </si>
  <si>
    <t>ORD-10563</t>
  </si>
  <si>
    <t>ORD-10148</t>
  </si>
  <si>
    <t>ORD-10385</t>
  </si>
  <si>
    <t>ORD-10499</t>
  </si>
  <si>
    <t>ORD-10580</t>
  </si>
  <si>
    <t>ORD-10116</t>
  </si>
  <si>
    <t>ORD-10274</t>
  </si>
  <si>
    <t>ORD-10292</t>
  </si>
  <si>
    <t>ORD-10064</t>
  </si>
  <si>
    <t>ORD-10495</t>
  </si>
  <si>
    <t>ORD-10670</t>
  </si>
  <si>
    <t>ORD-10081</t>
  </si>
  <si>
    <t>ORD-10118</t>
  </si>
  <si>
    <t>ORD-10182</t>
  </si>
  <si>
    <t>ORD-10516</t>
  </si>
  <si>
    <t>ORD-10092</t>
  </si>
  <si>
    <t>ORD-10321</t>
  </si>
  <si>
    <t>ORD-10554</t>
  </si>
  <si>
    <t>ORD-10491</t>
  </si>
  <si>
    <t>ORD-10057</t>
  </si>
  <si>
    <t>ORD-10291</t>
  </si>
  <si>
    <t>ORD-10555</t>
  </si>
  <si>
    <t>ORD-10648</t>
  </si>
  <si>
    <t>ORD-10707</t>
  </si>
  <si>
    <t>ORD-10320</t>
  </si>
  <si>
    <t>ORD-10035</t>
  </si>
  <si>
    <t>ORD-10609</t>
  </si>
  <si>
    <t>ORD-10718</t>
  </si>
  <si>
    <t>ORD-10036</t>
  </si>
  <si>
    <t>ORD-10312</t>
  </si>
  <si>
    <t>ORD-10013</t>
  </si>
  <si>
    <t>ORD-10856</t>
  </si>
  <si>
    <t>ORD-10727</t>
  </si>
  <si>
    <t>ORD-10062</t>
  </si>
  <si>
    <t>ORD-10241</t>
  </si>
  <si>
    <t>ORD-10710</t>
  </si>
  <si>
    <t>ORD-10737</t>
  </si>
  <si>
    <t>ORD-10880</t>
  </si>
  <si>
    <t>ORD-10884</t>
  </si>
  <si>
    <t>ORD-10007</t>
  </si>
  <si>
    <t>ORD-10430</t>
  </si>
  <si>
    <t>ORD-10649</t>
  </si>
  <si>
    <t>ORD-10100</t>
  </si>
  <si>
    <t>ORD-10814</t>
  </si>
  <si>
    <t>ORD-10875</t>
  </si>
  <si>
    <t>ORD-10279</t>
  </si>
  <si>
    <t>ORD-10342</t>
  </si>
  <si>
    <t>ORD-10104</t>
  </si>
  <si>
    <t>ORD-10152</t>
  </si>
  <si>
    <t>ORD-10187</t>
  </si>
  <si>
    <t>ORD-10438</t>
  </si>
  <si>
    <t>ORD-10470</t>
  </si>
  <si>
    <t>ORD-10501</t>
  </si>
  <si>
    <t>ORD-10599</t>
  </si>
  <si>
    <t>ORD-10039</t>
  </si>
  <si>
    <t>ORD-10287</t>
  </si>
  <si>
    <t>ORD-10380</t>
  </si>
  <si>
    <t>ORD-10088</t>
  </si>
  <si>
    <t>ORD-10146</t>
  </si>
  <si>
    <t>ORD-10149</t>
  </si>
  <si>
    <t>ORD-10471</t>
  </si>
  <si>
    <t>ORD-10536</t>
  </si>
  <si>
    <t>ORD-10866</t>
  </si>
  <si>
    <t>ORD-10479</t>
  </si>
  <si>
    <t>ORD-10506</t>
  </si>
  <si>
    <t>ORD-10128</t>
  </si>
  <si>
    <t>ORD-10423</t>
  </si>
  <si>
    <t>ORD-10461</t>
  </si>
  <si>
    <t>ORD-10781</t>
  </si>
  <si>
    <t>ORD-10340</t>
  </si>
  <si>
    <t>ORD-10739</t>
  </si>
  <si>
    <t>ORD-10896</t>
  </si>
  <si>
    <t>ORD-10195</t>
  </si>
  <si>
    <t>ORD-10500</t>
  </si>
  <si>
    <t>ORD-10246</t>
  </si>
  <si>
    <t>ORD-10301</t>
  </si>
  <si>
    <t>ORD-10452</t>
  </si>
  <si>
    <t>ORD-10262</t>
  </si>
  <si>
    <t>ORD-10437</t>
  </si>
  <si>
    <t>ORD-10715</t>
  </si>
  <si>
    <t>ORD-10260</t>
  </si>
  <si>
    <t>ORD-10650</t>
  </si>
  <si>
    <t>ORD-10129</t>
  </si>
  <si>
    <t>ORD-10557</t>
  </si>
  <si>
    <t>ORD-10364</t>
  </si>
  <si>
    <t>ORD-10109</t>
  </si>
  <si>
    <t>ORD-10266</t>
  </si>
  <si>
    <t>ORD-10400</t>
  </si>
  <si>
    <t>ORD-10775</t>
  </si>
  <si>
    <t>ORD-10085</t>
  </si>
  <si>
    <t>ORD-10690</t>
  </si>
  <si>
    <t>ORD-10354</t>
  </si>
  <si>
    <t>ORD-10502</t>
  </si>
  <si>
    <t>ORD-10654</t>
  </si>
  <si>
    <t>ORD-10398</t>
  </si>
  <si>
    <t>ORD-10509</t>
  </si>
  <si>
    <t>ORD-10316</t>
  </si>
  <si>
    <t>ORD-10631</t>
  </si>
  <si>
    <t>ORD-10644</t>
  </si>
  <si>
    <t>ORD-10151</t>
  </si>
  <si>
    <t>ORD-10375</t>
  </si>
  <si>
    <t>ORD-10406</t>
  </si>
  <si>
    <t>ORD-10658</t>
  </si>
  <si>
    <t>ORD-10121</t>
  </si>
  <si>
    <t>ORD-10059</t>
  </si>
  <si>
    <t>ORD-10699</t>
  </si>
  <si>
    <t>ORD-10071</t>
  </si>
  <si>
    <t>ORD-10310</t>
  </si>
  <si>
    <t>ORD-10538</t>
  </si>
  <si>
    <t>ORD-10675</t>
  </si>
  <si>
    <t>ORD-10212</t>
  </si>
  <si>
    <t>ORD-10418</t>
  </si>
  <si>
    <t>ORD-10701</t>
  </si>
  <si>
    <t>ORD-10031</t>
  </si>
  <si>
    <t>ORD-10253</t>
  </si>
  <si>
    <t>ORD-10565</t>
  </si>
  <si>
    <t>ORD-10665</t>
  </si>
  <si>
    <t>ORD-10862</t>
  </si>
  <si>
    <t>ORD-10540</t>
  </si>
  <si>
    <t>ORD-10336</t>
  </si>
  <si>
    <t>ORD-10766</t>
  </si>
  <si>
    <t>ORD-10769</t>
  </si>
  <si>
    <t>ORD-10060</t>
  </si>
  <si>
    <t>ORD-10806</t>
  </si>
  <si>
    <t>ORD-10824</t>
  </si>
  <si>
    <t>ORD-10394</t>
  </si>
  <si>
    <t>ORD-10672</t>
  </si>
  <si>
    <t>ORD-10836</t>
  </si>
  <si>
    <t>ORD-10843</t>
  </si>
  <si>
    <t>ORD-10549</t>
  </si>
  <si>
    <t>ORD-10799</t>
  </si>
  <si>
    <t>ORD-10063</t>
  </si>
  <si>
    <t>ORD-10096</t>
  </si>
  <si>
    <t>ORD-10348</t>
  </si>
  <si>
    <t>ORD-10374</t>
  </si>
  <si>
    <t>ORD-10436</t>
  </si>
  <si>
    <t>ORD-10084</t>
  </si>
  <si>
    <t>ORD-10582</t>
  </si>
  <si>
    <t>ORD-10408</t>
  </si>
  <si>
    <t>ORD-10742</t>
  </si>
  <si>
    <t>ORD-10061</t>
  </si>
  <si>
    <t>ORD-10282</t>
  </si>
  <si>
    <t>ORD-10545</t>
  </si>
  <si>
    <t>ORD-10706</t>
  </si>
  <si>
    <t>ORD-10115</t>
  </si>
  <si>
    <t>ORD-10127</t>
  </si>
  <si>
    <t>ORD-10209</t>
  </si>
  <si>
    <t>ORD-10289</t>
  </si>
  <si>
    <t>ORD-10624</t>
  </si>
  <si>
    <t>ORD-10363</t>
  </si>
  <si>
    <t>ORD-10611</t>
  </si>
  <si>
    <t>ORD-10272</t>
  </si>
  <si>
    <t>ORD-10309</t>
  </si>
  <si>
    <t>ORD-10026</t>
  </si>
  <si>
    <t>ORD-10349</t>
  </si>
  <si>
    <t>ORD-10606</t>
  </si>
  <si>
    <t>ORD-10211</t>
  </si>
  <si>
    <t>ORD-10636</t>
  </si>
  <si>
    <t>ORD-10646</t>
  </si>
  <si>
    <t>ORD-10203</t>
  </si>
  <si>
    <t>ORD-10234</t>
  </si>
  <si>
    <t>ORD-10551</t>
  </si>
  <si>
    <t>ORD-10568</t>
  </si>
  <si>
    <t>ORD-10600</t>
  </si>
  <si>
    <t>ORD-10612</t>
  </si>
  <si>
    <t>ORD-10208</t>
  </si>
  <si>
    <t>ORD-10635</t>
  </si>
  <si>
    <t>ORD-10045</t>
  </si>
  <si>
    <t>ORD-10072</t>
  </si>
  <si>
    <t>ORD-10782</t>
  </si>
  <si>
    <t>ORD-10577</t>
  </si>
  <si>
    <t>ORD-10281</t>
  </si>
  <si>
    <t>ORD-10588</t>
  </si>
  <si>
    <t>ORD-10190</t>
  </si>
  <si>
    <t>ORD-10155</t>
  </si>
  <si>
    <t>ORD-10559</t>
  </si>
  <si>
    <t>ORD-10827</t>
  </si>
  <si>
    <t>ORD-10010</t>
  </si>
  <si>
    <t>ORD-10353</t>
  </si>
  <si>
    <t>ORD-10460</t>
  </si>
  <si>
    <t>ORD-10730</t>
  </si>
  <si>
    <t>ORD-10819</t>
  </si>
  <si>
    <t>ORD-10037</t>
  </si>
  <si>
    <t>ORD-10216</t>
  </si>
  <si>
    <t>ORD-10405</t>
  </si>
  <si>
    <t>ORD-10004</t>
  </si>
  <si>
    <t>ORD-10671</t>
  </si>
  <si>
    <t>ORD-10463</t>
  </si>
  <si>
    <t>ORD-10774</t>
  </si>
  <si>
    <t>ORD-10346</t>
  </si>
  <si>
    <t>ORD-10812</t>
  </si>
  <si>
    <t>ORD-10791</t>
  </si>
  <si>
    <t>ORD-10005</t>
  </si>
  <si>
    <t>ORD-10160</t>
  </si>
  <si>
    <t>ORD-10390</t>
  </si>
  <si>
    <t>ORD-10124</t>
  </si>
  <si>
    <t>ORD-10230</t>
  </si>
  <si>
    <t>ORD-10454</t>
  </si>
  <si>
    <t>ORD-10617</t>
  </si>
  <si>
    <t>ORD-10842</t>
  </si>
  <si>
    <t>ORD-10477</t>
  </si>
  <si>
    <t>ORD-10513</t>
  </si>
  <si>
    <t>ORD-10229</t>
  </si>
  <si>
    <t>ORD-10303</t>
  </si>
  <si>
    <t>ORD-10765</t>
  </si>
  <si>
    <t>ORD-10783</t>
  </si>
  <si>
    <t>ORD-10192</t>
  </si>
  <si>
    <t>ORD-10335</t>
  </si>
  <si>
    <t>ORD-10042</t>
  </si>
  <si>
    <t>ORD-10171</t>
  </si>
  <si>
    <t>ORD-10323</t>
  </si>
  <si>
    <t>ORD-10432</t>
  </si>
  <si>
    <t>ORD-10647</t>
  </si>
  <si>
    <t>ORD-10729</t>
  </si>
  <si>
    <t>ORD-10587</t>
  </si>
  <si>
    <t>ORD-10686</t>
  </si>
  <si>
    <t>ORD-10878</t>
  </si>
  <si>
    <t>ORD-10448</t>
  </si>
  <si>
    <t>ORD-10359</t>
  </si>
  <si>
    <t>ORD-10424</t>
  </si>
  <si>
    <t>ORD-10657</t>
  </si>
  <si>
    <t>ORD-10723</t>
  </si>
  <si>
    <t>ORD-10391</t>
  </si>
  <si>
    <t>ORD-10614</t>
  </si>
  <si>
    <t>ORD-10618</t>
  </si>
  <si>
    <t>ORD-10645</t>
  </si>
  <si>
    <t>ORD-10125</t>
  </si>
  <si>
    <t>ORD-10333</t>
  </si>
  <si>
    <t>ORD-10795</t>
  </si>
  <si>
    <t>ORD-10044</t>
  </si>
  <si>
    <t>ORD-10445</t>
  </si>
  <si>
    <t>ORD-10193</t>
  </si>
  <si>
    <t>ORD-10201</t>
  </si>
  <si>
    <t>ORD-10731</t>
  </si>
  <si>
    <t>ORD-10749</t>
  </si>
  <si>
    <t>ORD-10440</t>
  </si>
  <si>
    <t>ORD-10178</t>
  </si>
  <si>
    <t>ORD-10367</t>
  </si>
  <si>
    <t>ORD-10553</t>
  </si>
  <si>
    <t>ORD-10677</t>
  </si>
  <si>
    <t>ORD-10494</t>
  </si>
  <si>
    <t>ORD-10736</t>
  </si>
  <si>
    <t>ORD-10826</t>
  </si>
  <si>
    <t>ORD-10894</t>
  </si>
  <si>
    <t>ORD-10220</t>
  </si>
  <si>
    <t>ORD-10295</t>
  </si>
  <si>
    <t>ORD-10761</t>
  </si>
  <si>
    <t>ORD-10857</t>
  </si>
  <si>
    <t>ORD-10003</t>
  </si>
  <si>
    <t>ORD-10300</t>
  </si>
  <si>
    <t>ORD-10597</t>
  </si>
  <si>
    <t>ORD-10620</t>
  </si>
  <si>
    <t>ORD-10898</t>
  </si>
  <si>
    <t>ORD-10055</t>
  </si>
  <si>
    <t>ORD-10561</t>
  </si>
  <si>
    <t>ORD-10590</t>
  </si>
  <si>
    <t>ORD-10757</t>
  </si>
  <si>
    <t>ORD-10786</t>
  </si>
  <si>
    <t>ORD-10881</t>
  </si>
  <si>
    <t>ORD-10002</t>
  </si>
  <si>
    <t>ORD-10074</t>
  </si>
  <si>
    <t>ORD-10052</t>
  </si>
  <si>
    <t>ORD-10132</t>
  </si>
  <si>
    <t>ORD-10558</t>
  </si>
  <si>
    <t>ORD-10887</t>
  </si>
  <si>
    <t>ORD-10466</t>
  </si>
  <si>
    <t>ORD-10886</t>
  </si>
  <si>
    <t>ORD-10332</t>
  </si>
  <si>
    <t>ORD-10102</t>
  </si>
  <si>
    <t>ORD-10784</t>
  </si>
  <si>
    <t>ORD-10252</t>
  </si>
  <si>
    <t>ORD-10402</t>
  </si>
  <si>
    <t>ORD-10443</t>
  </si>
  <si>
    <t>ORD-10562</t>
  </si>
  <si>
    <t>ORD-10833</t>
  </si>
  <si>
    <t>ORD-10324</t>
  </si>
  <si>
    <t>ORD-10847</t>
  </si>
  <si>
    <t>ORD-10446</t>
  </si>
  <si>
    <t>ORD-10497</t>
  </si>
  <si>
    <t>ORD-10708</t>
  </si>
  <si>
    <t>ORD-10853</t>
  </si>
  <si>
    <t>ORD-10028</t>
  </si>
  <si>
    <t>ORD-10311</t>
  </si>
  <si>
    <t>ORD-10486</t>
  </si>
  <si>
    <t>ORD-10689</t>
  </si>
  <si>
    <t>ORD-10174</t>
  </si>
  <si>
    <t>ORD-10250</t>
  </si>
  <si>
    <t>ORD-10388</t>
  </si>
  <si>
    <t>ORD-10668</t>
  </si>
  <si>
    <t>ORD-10830</t>
  </si>
  <si>
    <t>ORD-10315</t>
  </si>
  <si>
    <t>ORD-10804</t>
  </si>
  <si>
    <t>ORD-10598</t>
  </si>
  <si>
    <t>ORD-10099</t>
  </si>
  <si>
    <t>ORD-10822</t>
  </si>
  <si>
    <t>ORD-10225</t>
  </si>
  <si>
    <t>ORD-10447</t>
  </si>
  <si>
    <t>ORD-10594</t>
  </si>
  <si>
    <t>ORD-10641</t>
  </si>
  <si>
    <t>ORD-10347</t>
  </si>
  <si>
    <t>ORD-10638</t>
  </si>
  <si>
    <t>ORD-10712</t>
  </si>
  <si>
    <t>ORD-10379</t>
  </si>
  <si>
    <t>ORD-10584</t>
  </si>
  <si>
    <t>ORD-10625</t>
  </si>
  <si>
    <t>ORD-10222</t>
  </si>
  <si>
    <t>ORD-10372</t>
  </si>
  <si>
    <t>ORD-10414</t>
  </si>
  <si>
    <t>ORD-10244</t>
  </si>
  <si>
    <t>ORD-10242</t>
  </si>
  <si>
    <t>ORD-10243</t>
  </si>
  <si>
    <t>ORD-10255</t>
  </si>
  <si>
    <t>ORD-10837</t>
  </si>
  <si>
    <t>ORD-10434</t>
  </si>
  <si>
    <t>ORD-10137</t>
  </si>
  <si>
    <t>ORD-10215</t>
  </si>
  <si>
    <t>ORD-10683</t>
  </si>
  <si>
    <t>ORD-10750</t>
  </si>
  <si>
    <t>ORD-10777</t>
  </si>
  <si>
    <t>ORD-10297</t>
  </si>
  <si>
    <t>ORD-10386</t>
  </si>
  <si>
    <t>ORD-10008</t>
  </si>
  <si>
    <t>ORD-10165</t>
  </si>
  <si>
    <t>ORD-10433</t>
  </si>
  <si>
    <t>ORD-10177</t>
  </si>
  <si>
    <t>ORD-10294</t>
  </si>
  <si>
    <t>ORD-10299</t>
  </si>
  <si>
    <t>ORD-10464</t>
  </si>
  <si>
    <t>ORD-10206</t>
  </si>
  <si>
    <t>ORD-10472</t>
  </si>
  <si>
    <t>ORD-10722</t>
  </si>
  <si>
    <t>ORD-10111</t>
  </si>
  <si>
    <t>ORD-10876</t>
  </si>
  <si>
    <t>ORD-10307</t>
  </si>
  <si>
    <t>ORD-10393</t>
  </si>
  <si>
    <t>ORD-10634</t>
  </si>
  <si>
    <t>ORD-10238</t>
  </si>
  <si>
    <t>ORD-10259</t>
  </si>
  <si>
    <t>ORD-10703</t>
  </si>
  <si>
    <t>ORD-10001</t>
  </si>
  <si>
    <t>ORD-10167</t>
  </si>
  <si>
    <t>ORD-10269</t>
  </si>
  <si>
    <t>ORD-10870</t>
  </si>
  <si>
    <t>ORD-10041</t>
  </si>
  <si>
    <t>ORD-10407</t>
  </si>
  <si>
    <t>ORD-10441</t>
  </si>
  <si>
    <t>ORD-10531</t>
  </si>
  <si>
    <t>ORD-10458</t>
  </si>
  <si>
    <t>ORD-10343</t>
  </si>
  <si>
    <t>ORD-10451</t>
  </si>
  <si>
    <t>ORD-10069</t>
  </si>
  <si>
    <t>ORD-10113</t>
  </si>
  <si>
    <t>ORD-10200</t>
  </si>
  <si>
    <t>ORD-10204</t>
  </si>
  <si>
    <t>ORD-10328</t>
  </si>
  <si>
    <t>ORD-10457</t>
  </si>
  <si>
    <t>ORD-10823</t>
  </si>
  <si>
    <t>ORD-10018</t>
  </si>
  <si>
    <t>ORD-10455</t>
  </si>
  <si>
    <t>ORD-10490</t>
  </si>
  <si>
    <t>ORD-10511</t>
  </si>
  <si>
    <t>ORD-10539</t>
  </si>
  <si>
    <t>ORD-10382</t>
  </si>
  <si>
    <t>ORD-10450</t>
  </si>
  <si>
    <t>ORD-10526</t>
  </si>
  <si>
    <t>ORD-10528</t>
  </si>
  <si>
    <t>ORD-10095</t>
  </si>
  <si>
    <t>ORD-10138</t>
  </si>
  <si>
    <t>ORD-10145</t>
  </si>
  <si>
    <t>ORD-10724</t>
  </si>
  <si>
    <t>ORD-10153</t>
  </si>
  <si>
    <t>ORD-10603</t>
  </si>
  <si>
    <t>ORD-10136</t>
  </si>
  <si>
    <t>ORD-10168</t>
  </si>
  <si>
    <t>ORD-10476</t>
  </si>
  <si>
    <t>ORD-10566</t>
  </si>
  <si>
    <t>ORD-10889</t>
  </si>
  <si>
    <t>ORD-10038</t>
  </si>
  <si>
    <t>ORD-10207</t>
  </si>
  <si>
    <t>ORD-10293</t>
  </si>
  <si>
    <t>ORD-10527</t>
  </si>
  <si>
    <t>ORD-10585</t>
  </si>
  <si>
    <t>ORD-10270</t>
  </si>
  <si>
    <t>ORD-10144</t>
  </si>
  <si>
    <t>ORD-10237</t>
  </si>
  <si>
    <t>ORD-10369</t>
  </si>
  <si>
    <t>ORD-10542</t>
  </si>
  <si>
    <t>ORD-10543</t>
  </si>
  <si>
    <t>ORD-10763</t>
  </si>
  <si>
    <t>ORD-10273</t>
  </si>
  <si>
    <t>ORD-10344</t>
  </si>
  <si>
    <t>ORD-10368</t>
  </si>
  <si>
    <t>ORD-10642</t>
  </si>
  <si>
    <t>ORD-10268</t>
  </si>
  <si>
    <t>ORD-10308</t>
  </si>
  <si>
    <t>ORD-10417</t>
  </si>
  <si>
    <t>ORD-10700</t>
  </si>
  <si>
    <t>ORD-10713</t>
  </si>
  <si>
    <t>ORD-10176</t>
  </si>
  <si>
    <t>ORD-10075</t>
  </si>
  <si>
    <t>ORD-10086</t>
  </si>
  <si>
    <t>ORD-10412</t>
  </si>
  <si>
    <t>ORD-10015</t>
  </si>
  <si>
    <t>ORD-10199</t>
  </si>
  <si>
    <t>ORD-10425</t>
  </si>
  <si>
    <t>ORD-10475</t>
  </si>
  <si>
    <t>ORD-10240</t>
  </si>
  <si>
    <t>ORD-10586</t>
  </si>
  <si>
    <t>ORD-10596</t>
  </si>
  <si>
    <t>ORD-10787</t>
  </si>
  <si>
    <t>ORD-10860</t>
  </si>
  <si>
    <t>ORD-10239</t>
  </si>
  <si>
    <t>ORD-10327</t>
  </si>
  <si>
    <t>ORD-10341</t>
  </si>
  <si>
    <t>ORD-10487</t>
  </si>
  <si>
    <t>ORD-10601</t>
  </si>
  <si>
    <t>ORD-10740</t>
  </si>
  <si>
    <t>ORD-10691</t>
  </si>
  <si>
    <t>ORD-10392</t>
  </si>
  <si>
    <t>ORD-10395</t>
  </si>
  <si>
    <t>ORD-10027</t>
  </si>
  <si>
    <t>ORD-10254</t>
  </si>
  <si>
    <t>ORD-10550</t>
  </si>
  <si>
    <t>ORD-10413</t>
  </si>
  <si>
    <t>ORD-10504</t>
  </si>
  <si>
    <t>ORD-10473</t>
  </si>
  <si>
    <t>ORD-10530</t>
  </si>
  <si>
    <t>ORD-10767</t>
  </si>
  <si>
    <t>ORD-10076</t>
  </si>
  <si>
    <t>ORD-10123</t>
  </si>
  <si>
    <t>ORD-10223</t>
  </si>
  <si>
    <t>ORD-10431</t>
  </si>
  <si>
    <t>ORD-10514</t>
  </si>
  <si>
    <t>ORD-10520</t>
  </si>
  <si>
    <t>ORD-10033</t>
  </si>
  <si>
    <t>ORD-10194</t>
  </si>
  <si>
    <t>ORD-10607</t>
  </si>
  <si>
    <t>ORD-10110</t>
  </si>
  <si>
    <t>ORD-10277</t>
  </si>
  <si>
    <t>ORD-10284</t>
  </si>
  <si>
    <t>ORD-10439</t>
  </si>
  <si>
    <t>ORD-10752</t>
  </si>
  <si>
    <t>ORD-10854</t>
  </si>
  <si>
    <t>ORD-10662</t>
  </si>
  <si>
    <t>ORD-10734</t>
  </si>
  <si>
    <t>ORD-10890</t>
  </si>
  <si>
    <t>ORD-10019</t>
  </si>
  <si>
    <t>ORD-10772</t>
  </si>
  <si>
    <t>ORD-10813</t>
  </si>
  <si>
    <t>ORD-10900</t>
  </si>
  <si>
    <t>ORD-10217</t>
  </si>
  <si>
    <t>ORD-10331</t>
  </si>
  <si>
    <t>ORD-10865</t>
  </si>
  <si>
    <t>ORD-10493</t>
  </si>
  <si>
    <t>ORD-10537</t>
  </si>
  <si>
    <t>ORD-10029</t>
  </si>
  <si>
    <t>ORD-10235</t>
  </si>
  <si>
    <t>ORD-10575</t>
  </si>
  <si>
    <t>ORD-10012</t>
  </si>
  <si>
    <t>ORD-10892</t>
  </si>
  <si>
    <t>ORD-10844</t>
  </si>
  <si>
    <t>ORD-10885</t>
  </si>
  <si>
    <t>ORD-10126</t>
  </si>
  <si>
    <t>ORD-10170</t>
  </si>
  <si>
    <t>ORD-10370</t>
  </si>
  <si>
    <t>ORD-10656</t>
  </si>
  <si>
    <t>ORD-10570</t>
  </si>
  <si>
    <t>ORD-10583</t>
  </si>
  <si>
    <t>ORD-10652</t>
  </si>
  <si>
    <t>ORD-10142</t>
  </si>
  <si>
    <t>ORD-10744</t>
  </si>
  <si>
    <t>ORD-10179</t>
  </si>
  <si>
    <t>ORD-10305</t>
  </si>
  <si>
    <t>ORD-10681</t>
  </si>
  <si>
    <t>ORD-10746</t>
  </si>
  <si>
    <t>ORD-10709</t>
  </si>
  <si>
    <t>ORD-10313</t>
  </si>
  <si>
    <t>ORD-10469</t>
  </si>
  <si>
    <t>ORD-10426</t>
  </si>
  <si>
    <t>ORD-10651</t>
  </si>
  <si>
    <t>ORD-10034</t>
  </si>
  <si>
    <t>ORD-10054</t>
  </si>
  <si>
    <t>ORD-10429</t>
  </si>
  <si>
    <t>ORD-10773</t>
  </si>
  <si>
    <t>ORD-10873</t>
  </si>
  <si>
    <t>ORD-10317</t>
  </si>
  <si>
    <t>ORD-10077</t>
  </si>
  <si>
    <t>ORD-10351</t>
  </si>
  <si>
    <t>ORD-10422</t>
  </si>
  <si>
    <t>ORD-10661</t>
  </si>
  <si>
    <t>ORD-10811</t>
  </si>
  <si>
    <t>ORD-10838</t>
  </si>
  <si>
    <t>ORD-10232</t>
  </si>
  <si>
    <t>ORD-10384</t>
  </si>
  <si>
    <t>ORD-10515</t>
  </si>
  <si>
    <t>ORD-10589</t>
  </si>
  <si>
    <t>ORD-10897</t>
  </si>
  <si>
    <t>ORD-10546</t>
  </si>
  <si>
    <t>ORD-10610</t>
  </si>
  <si>
    <t>ORD-10070</t>
  </si>
  <si>
    <t>ORD-10120</t>
  </si>
  <si>
    <t>ORD-10275</t>
  </si>
  <si>
    <t>ORD-10517</t>
  </si>
  <si>
    <t>ORD-10732</t>
  </si>
  <si>
    <t>ORD-10758</t>
  </si>
  <si>
    <t>ORD-10156</t>
  </si>
  <si>
    <t>ORD-10608</t>
  </si>
  <si>
    <t>ORD-10895</t>
  </si>
  <si>
    <t>ORD-10669</t>
  </si>
  <si>
    <t>ORD-10196</t>
  </si>
  <si>
    <t>ORD-10693</t>
  </si>
  <si>
    <t>ORD-10704</t>
  </si>
  <si>
    <t>ORD-10831</t>
  </si>
  <si>
    <t>ORD-10337</t>
  </si>
  <si>
    <t>ORD-10637</t>
  </si>
  <si>
    <t>ORD-10802</t>
  </si>
  <si>
    <t>ORD-10829</t>
  </si>
  <si>
    <t>ORD-10119</t>
  </si>
  <si>
    <t>ORD-10185</t>
  </si>
  <si>
    <t>ORD-10805</t>
  </si>
  <si>
    <t>ORD-10834</t>
  </si>
  <si>
    <t>ORD-10852</t>
  </si>
  <si>
    <t>ORD-10891</t>
  </si>
  <si>
    <t>ORD-10236</t>
  </si>
  <si>
    <t>ORD-10357</t>
  </si>
  <si>
    <t>ORD-10532</t>
  </si>
  <si>
    <t>ORD-10770</t>
  </si>
  <si>
    <t>ORD-10818</t>
  </si>
  <si>
    <t>ORD-10256</t>
  </si>
  <si>
    <t>ORD-10264</t>
  </si>
  <si>
    <t>ORD-10576</t>
  </si>
  <si>
    <t>ORD-10748</t>
  </si>
  <si>
    <t>ORD-10329</t>
  </si>
  <si>
    <t>ORD-10420</t>
  </si>
  <si>
    <t>ORD-10578</t>
  </si>
  <si>
    <t>ORD-10130</t>
  </si>
  <si>
    <t>ORD-10290</t>
  </si>
  <si>
    <t>ORD-10640</t>
  </si>
  <si>
    <t>ORD-10863</t>
  </si>
  <si>
    <t>ORD-10065</t>
  </si>
  <si>
    <t>ORD-10484</t>
  </si>
  <si>
    <t>ORD-10696</t>
  </si>
  <si>
    <t>ORD-10717</t>
  </si>
  <si>
    <t>ORD-10361</t>
  </si>
  <si>
    <t>ORD-10639</t>
  </si>
  <si>
    <t>ORD-10322</t>
  </si>
  <si>
    <t>ORD-10365</t>
  </si>
  <si>
    <t>ORD-10605</t>
  </si>
  <si>
    <t>ORD-10821</t>
  </si>
  <si>
    <t>ORD-10338</t>
  </si>
  <si>
    <t>ORD-10403</t>
  </si>
  <si>
    <t>ORD-10817</t>
  </si>
  <si>
    <t>ORD-10186</t>
  </si>
  <si>
    <t>ORD-10785</t>
  </si>
  <si>
    <t>ORD-10017</t>
  </si>
  <si>
    <t>ORD-10283</t>
  </si>
  <si>
    <t>ORD-10265</t>
  </si>
  <si>
    <t>ORD-10276</t>
  </si>
  <si>
    <t>ORD-10595</t>
  </si>
  <si>
    <t>ORD-10685</t>
  </si>
  <si>
    <t>ORD-10197</t>
  </si>
  <si>
    <t>ORD-10227</t>
  </si>
  <si>
    <t>ORD-10228</t>
  </si>
  <si>
    <t>ORD-10352</t>
  </si>
  <si>
    <t>ORD-10498</t>
  </si>
  <si>
    <t>ORD-10867</t>
  </si>
  <si>
    <t>ORD-10868</t>
  </si>
  <si>
    <t>ORD-10602</t>
  </si>
  <si>
    <t>ORD-10058</t>
  </si>
  <si>
    <t>ORD-10544</t>
  </si>
  <si>
    <t>ORD-10653</t>
  </si>
  <si>
    <t>ORD-10157</t>
  </si>
  <si>
    <t>ORD-10682</t>
  </si>
  <si>
    <t>ORD-10302</t>
  </si>
  <si>
    <t>ORD-10404</t>
  </si>
  <si>
    <t>ORD-10861</t>
  </si>
  <si>
    <t>ORD-10068</t>
  </si>
  <si>
    <t>ORD-10073</t>
  </si>
  <si>
    <t>ORD-10288</t>
  </si>
  <si>
    <t>ORD-10421</t>
  </si>
  <si>
    <t>ORD-10678</t>
  </si>
  <si>
    <t>ORD-10087</t>
  </si>
  <si>
    <t>ORD-10621</t>
  </si>
  <si>
    <t>ORD-10024</t>
  </si>
  <si>
    <t>ORD-10488</t>
  </si>
  <si>
    <t>ORD-10205</t>
  </si>
  <si>
    <t>ORD-10604</t>
  </si>
  <si>
    <t>ORD-10387</t>
  </si>
  <si>
    <t>ORD-10592</t>
  </si>
  <si>
    <t>ORD-10680</t>
  </si>
  <si>
    <t>ORD-10738</t>
  </si>
  <si>
    <t>ORD-10733</t>
  </si>
  <si>
    <t>ORD-10810</t>
  </si>
  <si>
    <t>ORD-10117</t>
  </si>
  <si>
    <t>ORD-10401</t>
  </si>
  <si>
    <t>ORD-10449</t>
  </si>
  <si>
    <t>ORD-10456</t>
  </si>
  <si>
    <t>ORD-10872</t>
  </si>
  <si>
    <t>ORD-10097</t>
  </si>
  <si>
    <t>ORD-10564</t>
  </si>
  <si>
    <t>ORD-10859</t>
  </si>
  <si>
    <t>ORD-10093</t>
  </si>
  <si>
    <t>ORD-10759</t>
  </si>
  <si>
    <t>ORD-10159</t>
  </si>
  <si>
    <t>ORD-10371</t>
  </si>
  <si>
    <t>ORD-10094</t>
  </si>
  <si>
    <t>ORD-10122</t>
  </si>
  <si>
    <t>ORD-10263</t>
  </si>
  <si>
    <t>ORD-10453</t>
  </si>
  <si>
    <t>ORD-10492</t>
  </si>
  <si>
    <t>ORD-10721</t>
  </si>
  <si>
    <t>ORD-10743</t>
  </si>
  <si>
    <t>ORD-10286</t>
  </si>
  <si>
    <t>ORD-10285</t>
  </si>
  <si>
    <t>ORD-10481</t>
  </si>
  <si>
    <t>ORD-10883</t>
  </si>
  <si>
    <t>ORD-10047</t>
  </si>
  <si>
    <t>ORD-10108</t>
  </si>
  <si>
    <t>ORD-10483</t>
  </si>
  <si>
    <t>ORD-10547</t>
  </si>
  <si>
    <t>ORD-10855</t>
  </si>
  <si>
    <t>ORD-10103</t>
  </si>
  <si>
    <t>ORD-10319</t>
  </si>
  <si>
    <t>ORD-10874</t>
  </si>
  <si>
    <t>ORD-10334</t>
  </si>
  <si>
    <t>ORD-10711</t>
  </si>
  <si>
    <t>ORD-10381</t>
  </si>
  <si>
    <t>ORD-10541</t>
  </si>
  <si>
    <t>ORD-10630</t>
  </si>
  <si>
    <t>ORD-10131</t>
  </si>
  <si>
    <t>ORD-10134</t>
  </si>
  <si>
    <t>ORD-10397</t>
  </si>
  <si>
    <t>ORD-10416</t>
  </si>
  <si>
    <t>ORD-10014</t>
  </si>
  <si>
    <t>ORD-10053</t>
  </si>
  <si>
    <t>ORD-10251</t>
  </si>
  <si>
    <t>ORD-10040</t>
  </si>
  <si>
    <t>ORD-10175</t>
  </si>
  <si>
    <t>ORD-10534</t>
  </si>
  <si>
    <t>ORD-10020</t>
  </si>
  <si>
    <t>ORD-10180</t>
  </si>
  <si>
    <t>ORD-10181</t>
  </si>
  <si>
    <t>ORD-10376</t>
  </si>
  <si>
    <t>ORD-10726</t>
  </si>
  <si>
    <t>ORD-10809</t>
  </si>
  <si>
    <t>ORD-10377</t>
  </si>
  <si>
    <t>ORD-10522</t>
  </si>
  <si>
    <t>ORD-10780</t>
  </si>
  <si>
    <t>ORD-10021</t>
  </si>
  <si>
    <t>ORD-10345</t>
  </si>
  <si>
    <t>ORD-10776</t>
  </si>
  <si>
    <t>ORD-10046</t>
  </si>
  <si>
    <t>ORD-10106</t>
  </si>
  <si>
    <t>ORD-10628</t>
  </si>
  <si>
    <t>ORD-10720</t>
  </si>
  <si>
    <t>ORD-10751</t>
  </si>
  <si>
    <t>ORD-10762</t>
  </si>
  <si>
    <t>ORD-10858</t>
  </si>
  <si>
    <t>ORD-10816</t>
  </si>
  <si>
    <t>ORD-10779</t>
  </si>
  <si>
    <t>ORD-10090</t>
  </si>
  <si>
    <t>ORD-10714</t>
  </si>
  <si>
    <t>ORD-10815</t>
  </si>
  <si>
    <t>ORD-10849</t>
  </si>
  <si>
    <t>ORD-10030</t>
  </si>
  <si>
    <t>ORD-10679</t>
  </si>
  <si>
    <t>ORD-10659</t>
  </si>
  <si>
    <t>ORD-10735</t>
  </si>
  <si>
    <t>ORD-10098</t>
  </si>
  <si>
    <t>ORD-10166</t>
  </si>
  <si>
    <t>ORD-10399</t>
  </si>
  <si>
    <t>ORD-10419</t>
  </si>
  <si>
    <t>ORD-10728</t>
  </si>
  <si>
    <t>ORD-10755</t>
  </si>
  <si>
    <t>ORD-10358</t>
  </si>
  <si>
    <t>ORD-10705</t>
  </si>
  <si>
    <t>ORD-10741</t>
  </si>
  <si>
    <t>ORD-10105</t>
  </si>
  <si>
    <t>ORD-10139</t>
  </si>
  <si>
    <t>ORD-10173</t>
  </si>
  <si>
    <t>ORD-10248</t>
  </si>
  <si>
    <t>ORD-10350</t>
  </si>
  <si>
    <t>ORD-10524</t>
  </si>
  <si>
    <t>ORD-10623</t>
  </si>
  <si>
    <t>ORD-10694</t>
  </si>
  <si>
    <t>ORD-10756</t>
  </si>
  <si>
    <t>ORD-10409</t>
  </si>
  <si>
    <t>Year</t>
  </si>
  <si>
    <t>Month_No</t>
  </si>
  <si>
    <t>Month_Name</t>
  </si>
  <si>
    <t>Month_Key</t>
  </si>
  <si>
    <t>Week_Key</t>
  </si>
  <si>
    <t>Day_name</t>
  </si>
  <si>
    <t>&gt; All figure below are live formulas reading from Distributor_Row_Data. Green cells are yours to edit.</t>
  </si>
  <si>
    <t xml:space="preserve">       1.  DALY MIS - single-day snapshot</t>
  </si>
  <si>
    <t xml:space="preserve">                Total Sales</t>
  </si>
  <si>
    <t xml:space="preserve">    </t>
  </si>
  <si>
    <t xml:space="preserve">                Total Orders</t>
  </si>
  <si>
    <t xml:space="preserve">                Total Taget</t>
  </si>
  <si>
    <t xml:space="preserve">                Achievement %</t>
  </si>
  <si>
    <t xml:space="preserve">                Pending Orders</t>
  </si>
  <si>
    <t xml:space="preserve">                Average Sales per Order</t>
  </si>
  <si>
    <t xml:space="preserve">                MTD Sales</t>
  </si>
  <si>
    <t xml:space="preserve">                YTD Sales</t>
  </si>
  <si>
    <t xml:space="preserve">                Top Salesperson (selected day)</t>
  </si>
  <si>
    <r>
      <t xml:space="preserve">                              </t>
    </r>
    <r>
      <rPr>
        <b/>
        <sz val="24"/>
        <color theme="1"/>
        <rFont val="Aptos Narrow"/>
        <family val="2"/>
        <scheme val="minor"/>
      </rPr>
      <t xml:space="preserve">   2.  SALESPERSON PERFORMANCE</t>
    </r>
  </si>
  <si>
    <t xml:space="preserve">  1. DISTRIBUTOR - MIS DASHBOARD</t>
  </si>
  <si>
    <r>
      <t xml:space="preserve">               </t>
    </r>
    <r>
      <rPr>
        <b/>
        <sz val="14"/>
        <color theme="1"/>
        <rFont val="Aptos Narrow"/>
        <family val="2"/>
        <scheme val="minor"/>
      </rPr>
      <t xml:space="preserve">Selected Date - edit this cell     </t>
    </r>
  </si>
  <si>
    <t>Sales (selected day)</t>
  </si>
  <si>
    <t>Total Sales</t>
  </si>
  <si>
    <t>Orders</t>
  </si>
  <si>
    <t>Ach. %</t>
  </si>
  <si>
    <t>% of Total</t>
  </si>
  <si>
    <t>Rank</t>
  </si>
  <si>
    <t xml:space="preserve">                                          3. WEEKLY MIS - last 13 weeks</t>
  </si>
  <si>
    <t>Week</t>
  </si>
  <si>
    <t>Order</t>
  </si>
  <si>
    <t>WoW  Growth %</t>
  </si>
  <si>
    <t>2026-W26</t>
  </si>
  <si>
    <t>2026-W27</t>
  </si>
  <si>
    <t>2026-W28</t>
  </si>
  <si>
    <t>2026-W29</t>
  </si>
  <si>
    <t>2026-W30</t>
  </si>
  <si>
    <t>2026-W31</t>
  </si>
  <si>
    <t>2026-W32</t>
  </si>
  <si>
    <t>2026-W33</t>
  </si>
  <si>
    <t>2026-W34</t>
  </si>
  <si>
    <t>2026-W35</t>
  </si>
  <si>
    <t>2026-W36</t>
  </si>
  <si>
    <t>2026-W37</t>
  </si>
  <si>
    <t>2026-W38</t>
  </si>
  <si>
    <t xml:space="preserve">                                          4. MONTHLY MIS - revenue, MoM, YTD</t>
  </si>
  <si>
    <t>Month</t>
  </si>
  <si>
    <t>MoM Growth %</t>
  </si>
  <si>
    <t>YTD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</si>
  <si>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</si>
  <si>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</si>
  <si>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</si>
  <si>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</si>
  <si>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</si>
  <si>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</si>
  <si>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</si>
  <si>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</si>
  <si>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</si>
  <si>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</si>
  <si>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</si>
  <si>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</si>
  <si>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Pending Orders</t>
  </si>
  <si>
    <t xml:space="preserve">                                          5. CITY CONTRIBUTION</t>
  </si>
  <si>
    <t>Avg Sales</t>
  </si>
  <si>
    <t xml:space="preserve">                                          6. CATEGORY MIX</t>
  </si>
  <si>
    <t xml:space="preserve">7. BUSINESS INSIGHTS </t>
  </si>
  <si>
    <t>1. Best salesperson : Rahul Sharma with Rs. 6,75,849, vs the weakest, Kavita Rao at Rs. 2,79,274.</t>
  </si>
  <si>
    <t>2. Latest month (2026-09) sales was Rs. 2,10,353 against Rs. 2,71,685 the month before - a MoM change of -22.6%.</t>
  </si>
  <si>
    <t>3. Top city: Jaipur contributes 34.9% of total sales (Rs. 11,94,010).</t>
  </si>
  <si>
    <t>4. Biggest category: Beverages at 29.7% of the mix.</t>
  </si>
  <si>
    <t>5. Pending orders cluster in Ahmedabad (31 of 109 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</si>
</sst>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"/>
    <numFmt numFmtId="165" formatCode="\₹#,##0"/>
    <numFmt numFmtId="166" formatCode="&quot;₹&quot;\ #,##0.00"/>
    <numFmt numFmtId="167" formatCode="&quot;₹&quot;\ #,##0"/>
    <numFmt numFmtId="168" formatCode="0.0%"/>
  </numFmts>
  <fonts count="21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gency FB"/>
      <family val="2"/>
    </font>
    <font>
      <b/>
      <sz val="2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0"/>
      <name val="Arial"/>
      <family val="2"/>
    </font>
    <font>
      <sz val="20"/>
      <color theme="1"/>
      <name val="Aptos Narrow"/>
      <family val="2"/>
      <scheme val="minor"/>
    </font>
    <font>
      <b/>
      <sz val="20"/>
      <name val="Arial"/>
      <family val="2"/>
    </font>
    <font>
      <b/>
      <sz val="10"/>
      <color theme="3" tint="0.249977111117893"/>
      <name val="Arial"/>
      <family val="2"/>
    </font>
    <font>
      <b/>
      <sz val="12"/>
      <color theme="3" tint="0.249977111117893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rgb="FFC00000"/>
      <name val="Arial"/>
      <family val="2"/>
    </font>
    <font>
      <sz val="16"/>
      <color rgb="FFC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/>
    <xf numFmtId="165" fontId="2" fillId="0" borderId="0" xfId="0" applyNumberFormat="1" applyFont="1"/>
    <xf numFmtId="0" fontId="6" fillId="0" borderId="0" xfId="0" applyFont="1"/>
    <xf numFmtId="0" fontId="0" fillId="5" borderId="0" xfId="0" applyFill="1"/>
    <xf numFmtId="0" fontId="5" fillId="6" borderId="0" xfId="0" applyFont="1" applyFill="1"/>
    <xf numFmtId="0" fontId="8" fillId="0" borderId="2" xfId="0" applyFont="1" applyBorder="1"/>
    <xf numFmtId="0" fontId="8" fillId="0" borderId="1" xfId="0" applyFont="1" applyBorder="1"/>
    <xf numFmtId="0" fontId="8" fillId="0" borderId="3" xfId="0" applyFont="1" applyBorder="1"/>
    <xf numFmtId="0" fontId="10" fillId="0" borderId="0" xfId="0" applyFont="1"/>
    <xf numFmtId="15" fontId="11" fillId="4" borderId="4" xfId="0" applyNumberFormat="1" applyFont="1" applyFill="1" applyBorder="1" applyAlignment="1">
      <alignment horizontal="center"/>
    </xf>
    <xf numFmtId="0" fontId="12" fillId="0" borderId="1" xfId="0" applyFont="1" applyBorder="1"/>
    <xf numFmtId="0" fontId="3" fillId="0" borderId="1" xfId="0" applyFont="1" applyBorder="1"/>
    <xf numFmtId="167" fontId="3" fillId="0" borderId="1" xfId="0" applyNumberFormat="1" applyFont="1" applyBorder="1"/>
    <xf numFmtId="10" fontId="3" fillId="0" borderId="1" xfId="0" applyNumberFormat="1" applyFont="1" applyBorder="1"/>
    <xf numFmtId="166" fontId="9" fillId="0" borderId="2" xfId="0" applyNumberFormat="1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166" fontId="9" fillId="0" borderId="1" xfId="0" applyNumberFormat="1" applyFont="1" applyBorder="1" applyAlignment="1">
      <alignment horizontal="right"/>
    </xf>
    <xf numFmtId="10" fontId="9" fillId="0" borderId="1" xfId="0" applyNumberFormat="1" applyFont="1" applyBorder="1" applyAlignment="1">
      <alignment horizontal="right"/>
    </xf>
    <xf numFmtId="0" fontId="14" fillId="7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167" fontId="0" fillId="0" borderId="1" xfId="0" applyNumberFormat="1" applyBorder="1"/>
    <xf numFmtId="168" fontId="0" fillId="0" borderId="1" xfId="0" applyNumberFormat="1" applyBorder="1"/>
    <xf numFmtId="10" fontId="0" fillId="0" borderId="1" xfId="0" applyNumberFormat="1" applyBorder="1"/>
    <xf numFmtId="0" fontId="16" fillId="0" borderId="1" xfId="0" applyFont="1" applyBorder="1"/>
    <xf numFmtId="168" fontId="3" fillId="0" borderId="1" xfId="0" applyNumberFormat="1" applyFont="1" applyBorder="1"/>
    <xf numFmtId="0" fontId="17" fillId="0" borderId="1" xfId="0" applyFont="1" applyBorder="1"/>
    <xf numFmtId="0" fontId="15" fillId="0" borderId="1" xfId="0" applyFont="1" applyBorder="1" applyAlignment="1">
      <alignment horizontal="center" vertical="center" wrapText="1"/>
    </xf>
    <xf numFmtId="166" fontId="0" fillId="0" borderId="1" xfId="0" applyNumberFormat="1" applyBorder="1"/>
    <xf numFmtId="0" fontId="15" fillId="0" borderId="0" xfId="0" applyFont="1" applyAlignment="1">
      <alignment horizontal="center" vertical="center" wrapText="1"/>
    </xf>
    <xf numFmtId="0" fontId="13" fillId="8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5" fillId="9" borderId="0" xfId="0" applyFont="1" applyFill="1"/>
    <xf numFmtId="0" fontId="4" fillId="3" borderId="0" xfId="0" applyFont="1" applyFill="1"/>
    <xf numFmtId="0" fontId="3" fillId="3" borderId="0" xfId="0" applyFont="1" applyFill="1"/>
    <xf numFmtId="0" fontId="0" fillId="6" borderId="0" xfId="0" applyFill="1"/>
    <xf numFmtId="0" fontId="0" fillId="3" borderId="0" xfId="0" applyFill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\₹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\₹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dd\-mmm\-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5221B8-3B7F-40C8-ABA6-DAED611EED73}" name="Table1" displayName="Table1" ref="A1:Q901" totalsRowShown="0" headerRowDxfId="14">
  <autoFilter ref="A1:Q901" xr:uid="{005221B8-3B7F-40C8-ABA6-DAED611EED73}"/>
  <tableColumns count="17">
    <tableColumn id="1" xr3:uid="{25D27907-CE82-4E0B-A488-E5F2F612FF0C}" name="Date" dataDxfId="13"/>
    <tableColumn id="2" xr3:uid="{9CCC0CA6-E939-4739-8B3B-73FEE60376BF}" name="Order_ID" dataDxfId="12"/>
    <tableColumn id="3" xr3:uid="{8D12D9AA-E66D-41BC-A6F6-98B3ACF91371}" name="Salesperson" dataDxfId="11"/>
    <tableColumn id="4" xr3:uid="{971ADB0D-B511-44BF-9F8C-1C71F45DA728}" name="City" dataDxfId="10"/>
    <tableColumn id="5" xr3:uid="{CE46B30D-8B84-4A5A-905C-5905E722DA10}" name="Product" dataDxfId="9"/>
    <tableColumn id="6" xr3:uid="{0E78FA9C-4FB7-4BF9-AB87-4DFD2A365B87}" name="Category" dataDxfId="8"/>
    <tableColumn id="7" xr3:uid="{CC712E39-8F39-4539-AE6F-3364BD4C770D}" name="Quantity" dataDxfId="7"/>
    <tableColumn id="8" xr3:uid="{08F3CC7E-016D-46C6-8666-5869B47FBD97}" name="Sales" dataDxfId="6"/>
    <tableColumn id="9" xr3:uid="{ABC81CC8-EE9B-4D43-A6B6-67FAD29A9870}" name="Target" dataDxfId="5"/>
    <tableColumn id="10" xr3:uid="{A7EAFCFB-F479-40B4-B19B-77E0D006F17C}" name="Status" dataDxfId="4"/>
    <tableColumn id="11" xr3:uid="{9BD7BBB3-E7CF-4C4C-84F0-4F53EADC6AED}" name="Payment_Method" dataDxfId="3"/>
    <tableColumn id="12" xr3:uid="{D7D6E3D6-A466-4318-896F-D77DB42E8DB4}" name="Year">
      <calculatedColumnFormula>YEAR($A2)</calculatedColumnFormula>
    </tableColumn>
    <tableColumn id="13" xr3:uid="{049B9F1F-3F5E-4FFA-9932-368BF29943CD}" name="Month_No" dataDxfId="2">
      <calculatedColumnFormula>MONTH($A2)</calculatedColumnFormula>
    </tableColumn>
    <tableColumn id="14" xr3:uid="{43D3DF64-AE94-46A7-ABB0-0DA372B4A175}" name="Month_Name" dataDxfId="1">
      <calculatedColumnFormula>TEXT($A2,"mmm")</calculatedColumnFormula>
    </tableColumn>
    <tableColumn id="15" xr3:uid="{4E4BBF00-D4B6-4EA4-86F1-C395EBDB9D49}" name="Month_Key" dataDxfId="0">
      <calculatedColumnFormula>YEAR($A2)&amp;"-"&amp;TEXT(MONTH($A2),"00")</calculatedColumnFormula>
    </tableColumn>
    <tableColumn id="16" xr3:uid="{4D9780D8-115F-4E42-8D07-7ACBAA8B02BF}" name="Week_Key">
      <calculatedColumnFormula>YEAR($A2)&amp;"-W"&amp;TEXT(WEEKNUM($A2,2),"00")</calculatedColumnFormula>
    </tableColumn>
    <tableColumn id="17" xr3:uid="{C98F8111-BFB2-487B-8E3D-652CB29E8FEB}" name="Day_name">
      <calculatedColumnFormula>CHOOSE(WEEKDAY($A2,2),"Mon","Tue","Wed","Thu","Fri","Sat","Sun")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148F6-42CA-425D-8976-504ACDCB745F}">
  <dimension ref="A1"/>
  <sheetViews>
    <sheetView workbookViewId="0">
      <selection activeCell="A6" sqref="A6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B9E02-CAC4-4F25-A067-69215924A90F}">
  <dimension ref="A1:Q901"/>
  <sheetViews>
    <sheetView zoomScale="109" workbookViewId="0">
      <selection activeCell="F1" sqref="F1:F1048576"/>
    </sheetView>
  </sheetViews>
  <sheetFormatPr defaultRowHeight="14.4" x14ac:dyDescent="0.3"/>
  <cols>
    <col min="1" max="1" width="11.77734375" bestFit="1" customWidth="1"/>
    <col min="2" max="2" width="10.5546875" bestFit="1" customWidth="1"/>
    <col min="3" max="3" width="13.77734375" customWidth="1"/>
    <col min="4" max="4" width="10.6640625" bestFit="1" customWidth="1"/>
    <col min="5" max="5" width="17.33203125" bestFit="1" customWidth="1"/>
    <col min="6" max="6" width="10.77734375" customWidth="1"/>
    <col min="7" max="7" width="10.21875" customWidth="1"/>
    <col min="8" max="8" width="7.5546875" bestFit="1" customWidth="1"/>
    <col min="9" max="9" width="8.33203125" customWidth="1"/>
    <col min="10" max="10" width="9" bestFit="1" customWidth="1"/>
    <col min="11" max="11" width="18.21875" customWidth="1"/>
    <col min="13" max="13" width="11.6640625" customWidth="1"/>
    <col min="14" max="14" width="14.33203125" customWidth="1"/>
    <col min="15" max="15" width="12.77734375" customWidth="1"/>
    <col min="16" max="16" width="13.44140625" customWidth="1"/>
    <col min="17" max="17" width="12.109375" customWidth="1"/>
  </cols>
  <sheetData>
    <row r="1" spans="1:17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948</v>
      </c>
      <c r="M1" s="1" t="s">
        <v>949</v>
      </c>
      <c r="N1" s="1" t="s">
        <v>950</v>
      </c>
      <c r="O1" s="1" t="s">
        <v>951</v>
      </c>
      <c r="P1" s="1" t="s">
        <v>952</v>
      </c>
      <c r="Q1" s="1" t="s">
        <v>953</v>
      </c>
    </row>
    <row r="2" spans="1:17" x14ac:dyDescent="0.3">
      <c r="A2" s="2">
        <v>45931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>
        <v>49</v>
      </c>
      <c r="H2" s="4">
        <v>2723</v>
      </c>
      <c r="I2" s="4">
        <v>3100</v>
      </c>
      <c r="J2" s="3" t="s">
        <v>16</v>
      </c>
      <c r="K2" s="3" t="s">
        <v>17</v>
      </c>
      <c r="L2">
        <f>YEAR($A2)</f>
        <v>2025</v>
      </c>
      <c r="M2">
        <f t="shared" ref="M2:M65" si="0">MONTH($A2)</f>
        <v>10</v>
      </c>
      <c r="N2" t="str">
        <f t="shared" ref="N2:N65" si="1">TEXT($A2,"mmm")</f>
        <v>Oct</v>
      </c>
      <c r="O2" t="str">
        <f t="shared" ref="O2:O65" si="2">YEAR($A2)&amp;"-"&amp;TEXT(MONTH($A2),"00")</f>
        <v>2025-10</v>
      </c>
      <c r="P2" t="str">
        <f>YEAR($A2)&amp;"-W"&amp;TEXT(WEEKNUM($A2,2),"00")</f>
        <v>2025-W40</v>
      </c>
      <c r="Q2" t="str">
        <f>CHOOSE(WEEKDAY($A2,2),"Mon","Tue","Wed","Thu","Fri","Sat","Sun")</f>
        <v>Wed</v>
      </c>
    </row>
    <row r="3" spans="1:17" x14ac:dyDescent="0.3">
      <c r="A3" s="2">
        <v>45931</v>
      </c>
      <c r="B3" s="3" t="s">
        <v>18</v>
      </c>
      <c r="C3" s="3" t="s">
        <v>12</v>
      </c>
      <c r="D3" s="3" t="s">
        <v>19</v>
      </c>
      <c r="E3" s="3" t="s">
        <v>20</v>
      </c>
      <c r="F3" s="3" t="s">
        <v>21</v>
      </c>
      <c r="G3" s="3">
        <v>10</v>
      </c>
      <c r="H3" s="4">
        <v>410</v>
      </c>
      <c r="I3" s="4">
        <v>400</v>
      </c>
      <c r="J3" s="3" t="s">
        <v>22</v>
      </c>
      <c r="K3" s="3" t="s">
        <v>23</v>
      </c>
      <c r="L3">
        <f t="shared" ref="L3:L66" si="3">YEAR($A3)</f>
        <v>2025</v>
      </c>
      <c r="M3">
        <f t="shared" si="0"/>
        <v>10</v>
      </c>
      <c r="N3" t="str">
        <f t="shared" si="1"/>
        <v>Oct</v>
      </c>
      <c r="O3" t="str">
        <f t="shared" si="2"/>
        <v>2025-10</v>
      </c>
      <c r="P3" t="str">
        <f t="shared" ref="P3:P66" si="4">YEAR($A3)&amp;"-W"&amp;TEXT(WEEKNUM($A3,2),"00")</f>
        <v>2025-W40</v>
      </c>
      <c r="Q3" t="str">
        <f t="shared" ref="Q3:Q66" si="5">CHOOSE(WEEKDAY($A3,2),"Mon","Tue","Wed","Thu","Fri","Sat","Sun")</f>
        <v>Wed</v>
      </c>
    </row>
    <row r="4" spans="1:17" x14ac:dyDescent="0.3">
      <c r="A4" s="2">
        <v>45932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15</v>
      </c>
      <c r="G4" s="3">
        <v>49</v>
      </c>
      <c r="H4" s="4">
        <v>2096</v>
      </c>
      <c r="I4" s="4">
        <v>2100</v>
      </c>
      <c r="J4" s="3" t="s">
        <v>22</v>
      </c>
      <c r="K4" s="3" t="s">
        <v>23</v>
      </c>
      <c r="L4">
        <f t="shared" si="3"/>
        <v>2025</v>
      </c>
      <c r="M4">
        <f t="shared" si="0"/>
        <v>10</v>
      </c>
      <c r="N4" t="str">
        <f t="shared" si="1"/>
        <v>Oct</v>
      </c>
      <c r="O4" t="str">
        <f t="shared" si="2"/>
        <v>2025-10</v>
      </c>
      <c r="P4" t="str">
        <f t="shared" si="4"/>
        <v>2025-W40</v>
      </c>
      <c r="Q4" t="str">
        <f t="shared" si="5"/>
        <v>Thu</v>
      </c>
    </row>
    <row r="5" spans="1:17" x14ac:dyDescent="0.3">
      <c r="A5" s="2">
        <v>45932</v>
      </c>
      <c r="B5" s="3" t="s">
        <v>28</v>
      </c>
      <c r="C5" s="3" t="s">
        <v>25</v>
      </c>
      <c r="D5" s="3" t="s">
        <v>19</v>
      </c>
      <c r="E5" s="3" t="s">
        <v>29</v>
      </c>
      <c r="F5" s="3" t="s">
        <v>21</v>
      </c>
      <c r="G5" s="3">
        <v>102</v>
      </c>
      <c r="H5" s="4">
        <v>3614</v>
      </c>
      <c r="I5" s="4">
        <v>3200</v>
      </c>
      <c r="J5" s="3" t="s">
        <v>16</v>
      </c>
      <c r="K5" s="3" t="s">
        <v>30</v>
      </c>
      <c r="L5">
        <f t="shared" si="3"/>
        <v>2025</v>
      </c>
      <c r="M5">
        <f t="shared" si="0"/>
        <v>10</v>
      </c>
      <c r="N5" t="str">
        <f t="shared" si="1"/>
        <v>Oct</v>
      </c>
      <c r="O5" t="str">
        <f t="shared" si="2"/>
        <v>2025-10</v>
      </c>
      <c r="P5" t="str">
        <f t="shared" si="4"/>
        <v>2025-W40</v>
      </c>
      <c r="Q5" t="str">
        <f t="shared" si="5"/>
        <v>Thu</v>
      </c>
    </row>
    <row r="6" spans="1:17" x14ac:dyDescent="0.3">
      <c r="A6" s="2">
        <v>45932</v>
      </c>
      <c r="B6" s="3" t="s">
        <v>31</v>
      </c>
      <c r="C6" s="3" t="s">
        <v>32</v>
      </c>
      <c r="D6" s="3" t="s">
        <v>19</v>
      </c>
      <c r="E6" s="3" t="s">
        <v>33</v>
      </c>
      <c r="F6" s="3" t="s">
        <v>34</v>
      </c>
      <c r="G6" s="3">
        <v>53</v>
      </c>
      <c r="H6" s="4">
        <v>2830</v>
      </c>
      <c r="I6" s="4">
        <v>2700</v>
      </c>
      <c r="J6" s="3" t="s">
        <v>22</v>
      </c>
      <c r="K6" s="3" t="s">
        <v>30</v>
      </c>
      <c r="L6">
        <f t="shared" si="3"/>
        <v>2025</v>
      </c>
      <c r="M6">
        <f t="shared" si="0"/>
        <v>10</v>
      </c>
      <c r="N6" t="str">
        <f t="shared" si="1"/>
        <v>Oct</v>
      </c>
      <c r="O6" t="str">
        <f t="shared" si="2"/>
        <v>2025-10</v>
      </c>
      <c r="P6" t="str">
        <f t="shared" si="4"/>
        <v>2025-W40</v>
      </c>
      <c r="Q6" t="str">
        <f t="shared" si="5"/>
        <v>Thu</v>
      </c>
    </row>
    <row r="7" spans="1:17" x14ac:dyDescent="0.3">
      <c r="A7" s="2">
        <v>45932</v>
      </c>
      <c r="B7" s="3" t="s">
        <v>35</v>
      </c>
      <c r="C7" s="3" t="s">
        <v>32</v>
      </c>
      <c r="D7" s="3" t="s">
        <v>19</v>
      </c>
      <c r="E7" s="3" t="s">
        <v>20</v>
      </c>
      <c r="F7" s="3" t="s">
        <v>21</v>
      </c>
      <c r="G7" s="3">
        <v>15</v>
      </c>
      <c r="H7" s="4">
        <v>567</v>
      </c>
      <c r="I7" s="4">
        <v>500</v>
      </c>
      <c r="J7" s="3" t="s">
        <v>22</v>
      </c>
      <c r="K7" s="3" t="s">
        <v>36</v>
      </c>
      <c r="L7">
        <f t="shared" si="3"/>
        <v>2025</v>
      </c>
      <c r="M7">
        <f t="shared" si="0"/>
        <v>10</v>
      </c>
      <c r="N7" t="str">
        <f t="shared" si="1"/>
        <v>Oct</v>
      </c>
      <c r="O7" t="str">
        <f t="shared" si="2"/>
        <v>2025-10</v>
      </c>
      <c r="P7" t="str">
        <f t="shared" si="4"/>
        <v>2025-W40</v>
      </c>
      <c r="Q7" t="str">
        <f t="shared" si="5"/>
        <v>Thu</v>
      </c>
    </row>
    <row r="8" spans="1:17" x14ac:dyDescent="0.3">
      <c r="A8" s="2">
        <v>45932</v>
      </c>
      <c r="B8" s="3" t="s">
        <v>37</v>
      </c>
      <c r="C8" s="3" t="s">
        <v>38</v>
      </c>
      <c r="D8" s="3" t="s">
        <v>26</v>
      </c>
      <c r="E8" s="3" t="s">
        <v>29</v>
      </c>
      <c r="F8" s="3" t="s">
        <v>21</v>
      </c>
      <c r="G8" s="3">
        <v>47</v>
      </c>
      <c r="H8" s="4">
        <v>1947</v>
      </c>
      <c r="I8" s="4">
        <v>2100</v>
      </c>
      <c r="J8" s="3" t="s">
        <v>39</v>
      </c>
      <c r="K8" s="3" t="s">
        <v>30</v>
      </c>
      <c r="L8">
        <f t="shared" si="3"/>
        <v>2025</v>
      </c>
      <c r="M8">
        <f t="shared" si="0"/>
        <v>10</v>
      </c>
      <c r="N8" t="str">
        <f t="shared" si="1"/>
        <v>Oct</v>
      </c>
      <c r="O8" t="str">
        <f t="shared" si="2"/>
        <v>2025-10</v>
      </c>
      <c r="P8" t="str">
        <f t="shared" si="4"/>
        <v>2025-W40</v>
      </c>
      <c r="Q8" t="str">
        <f t="shared" si="5"/>
        <v>Thu</v>
      </c>
    </row>
    <row r="9" spans="1:17" x14ac:dyDescent="0.3">
      <c r="A9" s="2">
        <v>45933</v>
      </c>
      <c r="B9" s="3" t="s">
        <v>40</v>
      </c>
      <c r="C9" s="3" t="s">
        <v>38</v>
      </c>
      <c r="D9" s="3" t="s">
        <v>26</v>
      </c>
      <c r="E9" s="3" t="s">
        <v>41</v>
      </c>
      <c r="F9" s="3" t="s">
        <v>21</v>
      </c>
      <c r="G9" s="3">
        <v>108</v>
      </c>
      <c r="H9" s="4">
        <v>4078</v>
      </c>
      <c r="I9" s="4">
        <v>3600</v>
      </c>
      <c r="J9" s="3" t="s">
        <v>22</v>
      </c>
      <c r="K9" s="3" t="s">
        <v>30</v>
      </c>
      <c r="L9">
        <f t="shared" si="3"/>
        <v>2025</v>
      </c>
      <c r="M9">
        <f t="shared" si="0"/>
        <v>10</v>
      </c>
      <c r="N9" t="str">
        <f t="shared" si="1"/>
        <v>Oct</v>
      </c>
      <c r="O9" t="str">
        <f t="shared" si="2"/>
        <v>2025-10</v>
      </c>
      <c r="P9" t="str">
        <f t="shared" si="4"/>
        <v>2025-W40</v>
      </c>
      <c r="Q9" t="str">
        <f t="shared" si="5"/>
        <v>Fri</v>
      </c>
    </row>
    <row r="10" spans="1:17" x14ac:dyDescent="0.3">
      <c r="A10" s="2">
        <v>45933</v>
      </c>
      <c r="B10" s="3" t="s">
        <v>42</v>
      </c>
      <c r="C10" s="3" t="s">
        <v>43</v>
      </c>
      <c r="D10" s="3" t="s">
        <v>19</v>
      </c>
      <c r="E10" s="3" t="s">
        <v>44</v>
      </c>
      <c r="F10" s="3" t="s">
        <v>34</v>
      </c>
      <c r="G10" s="3">
        <v>78</v>
      </c>
      <c r="H10" s="4">
        <v>4840</v>
      </c>
      <c r="I10" s="4">
        <v>5600</v>
      </c>
      <c r="J10" s="3" t="s">
        <v>39</v>
      </c>
      <c r="K10" s="3" t="s">
        <v>36</v>
      </c>
      <c r="L10">
        <f t="shared" si="3"/>
        <v>2025</v>
      </c>
      <c r="M10">
        <f t="shared" si="0"/>
        <v>10</v>
      </c>
      <c r="N10" t="str">
        <f t="shared" si="1"/>
        <v>Oct</v>
      </c>
      <c r="O10" t="str">
        <f t="shared" si="2"/>
        <v>2025-10</v>
      </c>
      <c r="P10" t="str">
        <f t="shared" si="4"/>
        <v>2025-W40</v>
      </c>
      <c r="Q10" t="str">
        <f t="shared" si="5"/>
        <v>Fri</v>
      </c>
    </row>
    <row r="11" spans="1:17" x14ac:dyDescent="0.3">
      <c r="A11" s="2">
        <v>45935</v>
      </c>
      <c r="B11" s="3" t="s">
        <v>45</v>
      </c>
      <c r="C11" s="3" t="s">
        <v>38</v>
      </c>
      <c r="D11" s="3" t="s">
        <v>26</v>
      </c>
      <c r="E11" s="3" t="s">
        <v>29</v>
      </c>
      <c r="F11" s="3" t="s">
        <v>21</v>
      </c>
      <c r="G11" s="3">
        <v>79</v>
      </c>
      <c r="H11" s="4">
        <v>2351</v>
      </c>
      <c r="I11" s="4">
        <v>2800</v>
      </c>
      <c r="J11" s="3" t="s">
        <v>39</v>
      </c>
      <c r="K11" s="3" t="s">
        <v>30</v>
      </c>
      <c r="L11">
        <f t="shared" si="3"/>
        <v>2025</v>
      </c>
      <c r="M11">
        <f t="shared" si="0"/>
        <v>10</v>
      </c>
      <c r="N11" t="str">
        <f t="shared" si="1"/>
        <v>Oct</v>
      </c>
      <c r="O11" t="str">
        <f t="shared" si="2"/>
        <v>2025-10</v>
      </c>
      <c r="P11" t="str">
        <f t="shared" si="4"/>
        <v>2025-W40</v>
      </c>
      <c r="Q11" t="str">
        <f t="shared" si="5"/>
        <v>Sun</v>
      </c>
    </row>
    <row r="12" spans="1:17" x14ac:dyDescent="0.3">
      <c r="A12" s="2">
        <v>45936</v>
      </c>
      <c r="B12" s="3" t="s">
        <v>46</v>
      </c>
      <c r="C12" s="3" t="s">
        <v>32</v>
      </c>
      <c r="D12" s="3" t="s">
        <v>47</v>
      </c>
      <c r="E12" s="3" t="s">
        <v>48</v>
      </c>
      <c r="F12" s="3" t="s">
        <v>15</v>
      </c>
      <c r="G12" s="3">
        <v>72</v>
      </c>
      <c r="H12" s="4">
        <v>3173</v>
      </c>
      <c r="I12" s="4">
        <v>3400</v>
      </c>
      <c r="J12" s="3" t="s">
        <v>22</v>
      </c>
      <c r="K12" s="3" t="s">
        <v>36</v>
      </c>
      <c r="L12">
        <f t="shared" si="3"/>
        <v>2025</v>
      </c>
      <c r="M12">
        <f t="shared" si="0"/>
        <v>10</v>
      </c>
      <c r="N12" t="str">
        <f t="shared" si="1"/>
        <v>Oct</v>
      </c>
      <c r="O12" t="str">
        <f t="shared" si="2"/>
        <v>2025-10</v>
      </c>
      <c r="P12" t="str">
        <f t="shared" si="4"/>
        <v>2025-W41</v>
      </c>
      <c r="Q12" t="str">
        <f t="shared" si="5"/>
        <v>Mon</v>
      </c>
    </row>
    <row r="13" spans="1:17" x14ac:dyDescent="0.3">
      <c r="A13" s="2">
        <v>45936</v>
      </c>
      <c r="B13" s="3" t="s">
        <v>49</v>
      </c>
      <c r="C13" s="3" t="s">
        <v>50</v>
      </c>
      <c r="D13" s="3" t="s">
        <v>19</v>
      </c>
      <c r="E13" s="3" t="s">
        <v>14</v>
      </c>
      <c r="F13" s="3" t="s">
        <v>15</v>
      </c>
      <c r="G13" s="3">
        <v>23</v>
      </c>
      <c r="H13" s="4">
        <v>1053</v>
      </c>
      <c r="I13" s="4">
        <v>900</v>
      </c>
      <c r="J13" s="3" t="s">
        <v>22</v>
      </c>
      <c r="K13" s="3" t="s">
        <v>23</v>
      </c>
      <c r="L13">
        <f t="shared" si="3"/>
        <v>2025</v>
      </c>
      <c r="M13">
        <f t="shared" si="0"/>
        <v>10</v>
      </c>
      <c r="N13" t="str">
        <f t="shared" si="1"/>
        <v>Oct</v>
      </c>
      <c r="O13" t="str">
        <f t="shared" si="2"/>
        <v>2025-10</v>
      </c>
      <c r="P13" t="str">
        <f t="shared" si="4"/>
        <v>2025-W41</v>
      </c>
      <c r="Q13" t="str">
        <f t="shared" si="5"/>
        <v>Mon</v>
      </c>
    </row>
    <row r="14" spans="1:17" x14ac:dyDescent="0.3">
      <c r="A14" s="2">
        <v>45937</v>
      </c>
      <c r="B14" s="3" t="s">
        <v>51</v>
      </c>
      <c r="C14" s="3" t="s">
        <v>38</v>
      </c>
      <c r="D14" s="3" t="s">
        <v>19</v>
      </c>
      <c r="E14" s="3" t="s">
        <v>14</v>
      </c>
      <c r="F14" s="3" t="s">
        <v>15</v>
      </c>
      <c r="G14" s="3">
        <v>101</v>
      </c>
      <c r="H14" s="4">
        <v>5716</v>
      </c>
      <c r="I14" s="4">
        <v>4800</v>
      </c>
      <c r="J14" s="3" t="s">
        <v>22</v>
      </c>
      <c r="K14" s="3" t="s">
        <v>36</v>
      </c>
      <c r="L14">
        <f t="shared" si="3"/>
        <v>2025</v>
      </c>
      <c r="M14">
        <f t="shared" si="0"/>
        <v>10</v>
      </c>
      <c r="N14" t="str">
        <f t="shared" si="1"/>
        <v>Oct</v>
      </c>
      <c r="O14" t="str">
        <f t="shared" si="2"/>
        <v>2025-10</v>
      </c>
      <c r="P14" t="str">
        <f t="shared" si="4"/>
        <v>2025-W41</v>
      </c>
      <c r="Q14" t="str">
        <f t="shared" si="5"/>
        <v>Tue</v>
      </c>
    </row>
    <row r="15" spans="1:17" x14ac:dyDescent="0.3">
      <c r="A15" s="2">
        <v>45937</v>
      </c>
      <c r="B15" s="3" t="s">
        <v>52</v>
      </c>
      <c r="C15" s="3" t="s">
        <v>43</v>
      </c>
      <c r="D15" s="3" t="s">
        <v>53</v>
      </c>
      <c r="E15" s="3" t="s">
        <v>14</v>
      </c>
      <c r="F15" s="3" t="s">
        <v>15</v>
      </c>
      <c r="G15" s="3">
        <v>78</v>
      </c>
      <c r="H15" s="4">
        <v>3847</v>
      </c>
      <c r="I15" s="4">
        <v>4300</v>
      </c>
      <c r="J15" s="3" t="s">
        <v>22</v>
      </c>
      <c r="K15" s="3" t="s">
        <v>36</v>
      </c>
      <c r="L15">
        <f t="shared" si="3"/>
        <v>2025</v>
      </c>
      <c r="M15">
        <f t="shared" si="0"/>
        <v>10</v>
      </c>
      <c r="N15" t="str">
        <f t="shared" si="1"/>
        <v>Oct</v>
      </c>
      <c r="O15" t="str">
        <f t="shared" si="2"/>
        <v>2025-10</v>
      </c>
      <c r="P15" t="str">
        <f t="shared" si="4"/>
        <v>2025-W41</v>
      </c>
      <c r="Q15" t="str">
        <f t="shared" si="5"/>
        <v>Tue</v>
      </c>
    </row>
    <row r="16" spans="1:17" x14ac:dyDescent="0.3">
      <c r="A16" s="2">
        <v>45937</v>
      </c>
      <c r="B16" s="3" t="s">
        <v>54</v>
      </c>
      <c r="C16" s="3" t="s">
        <v>50</v>
      </c>
      <c r="D16" s="3" t="s">
        <v>53</v>
      </c>
      <c r="E16" s="3" t="s">
        <v>14</v>
      </c>
      <c r="F16" s="3" t="s">
        <v>15</v>
      </c>
      <c r="G16" s="3">
        <v>115</v>
      </c>
      <c r="H16" s="4">
        <v>5337</v>
      </c>
      <c r="I16" s="4">
        <v>5500</v>
      </c>
      <c r="J16" s="3" t="s">
        <v>22</v>
      </c>
      <c r="K16" s="3" t="s">
        <v>17</v>
      </c>
      <c r="L16">
        <f t="shared" si="3"/>
        <v>2025</v>
      </c>
      <c r="M16">
        <f t="shared" si="0"/>
        <v>10</v>
      </c>
      <c r="N16" t="str">
        <f t="shared" si="1"/>
        <v>Oct</v>
      </c>
      <c r="O16" t="str">
        <f t="shared" si="2"/>
        <v>2025-10</v>
      </c>
      <c r="P16" t="str">
        <f t="shared" si="4"/>
        <v>2025-W41</v>
      </c>
      <c r="Q16" t="str">
        <f t="shared" si="5"/>
        <v>Tue</v>
      </c>
    </row>
    <row r="17" spans="1:17" x14ac:dyDescent="0.3">
      <c r="A17" s="2">
        <v>45937</v>
      </c>
      <c r="B17" s="3" t="s">
        <v>55</v>
      </c>
      <c r="C17" s="3" t="s">
        <v>25</v>
      </c>
      <c r="D17" s="3" t="s">
        <v>26</v>
      </c>
      <c r="E17" s="3" t="s">
        <v>27</v>
      </c>
      <c r="F17" s="3" t="s">
        <v>15</v>
      </c>
      <c r="G17" s="3">
        <v>39</v>
      </c>
      <c r="H17" s="4">
        <v>1975</v>
      </c>
      <c r="I17" s="4">
        <v>1600</v>
      </c>
      <c r="J17" s="3" t="s">
        <v>22</v>
      </c>
      <c r="K17" s="3" t="s">
        <v>17</v>
      </c>
      <c r="L17">
        <f t="shared" si="3"/>
        <v>2025</v>
      </c>
      <c r="M17">
        <f t="shared" si="0"/>
        <v>10</v>
      </c>
      <c r="N17" t="str">
        <f t="shared" si="1"/>
        <v>Oct</v>
      </c>
      <c r="O17" t="str">
        <f t="shared" si="2"/>
        <v>2025-10</v>
      </c>
      <c r="P17" t="str">
        <f t="shared" si="4"/>
        <v>2025-W41</v>
      </c>
      <c r="Q17" t="str">
        <f t="shared" si="5"/>
        <v>Tue</v>
      </c>
    </row>
    <row r="18" spans="1:17" x14ac:dyDescent="0.3">
      <c r="A18" s="2">
        <v>45937</v>
      </c>
      <c r="B18" s="3" t="s">
        <v>56</v>
      </c>
      <c r="C18" s="3" t="s">
        <v>57</v>
      </c>
      <c r="D18" s="3" t="s">
        <v>47</v>
      </c>
      <c r="E18" s="3" t="s">
        <v>58</v>
      </c>
      <c r="F18" s="3" t="s">
        <v>59</v>
      </c>
      <c r="G18" s="3">
        <v>62</v>
      </c>
      <c r="H18" s="4">
        <v>5006</v>
      </c>
      <c r="I18" s="4">
        <v>5600</v>
      </c>
      <c r="J18" s="3" t="s">
        <v>22</v>
      </c>
      <c r="K18" s="3" t="s">
        <v>36</v>
      </c>
      <c r="L18">
        <f t="shared" si="3"/>
        <v>2025</v>
      </c>
      <c r="M18">
        <f t="shared" si="0"/>
        <v>10</v>
      </c>
      <c r="N18" t="str">
        <f t="shared" si="1"/>
        <v>Oct</v>
      </c>
      <c r="O18" t="str">
        <f t="shared" si="2"/>
        <v>2025-10</v>
      </c>
      <c r="P18" t="str">
        <f t="shared" si="4"/>
        <v>2025-W41</v>
      </c>
      <c r="Q18" t="str">
        <f t="shared" si="5"/>
        <v>Tue</v>
      </c>
    </row>
    <row r="19" spans="1:17" x14ac:dyDescent="0.3">
      <c r="A19" s="2">
        <v>45939</v>
      </c>
      <c r="B19" s="3" t="s">
        <v>60</v>
      </c>
      <c r="C19" s="3" t="s">
        <v>38</v>
      </c>
      <c r="D19" s="3" t="s">
        <v>26</v>
      </c>
      <c r="E19" s="3" t="s">
        <v>61</v>
      </c>
      <c r="F19" s="3" t="s">
        <v>59</v>
      </c>
      <c r="G19" s="3">
        <v>39</v>
      </c>
      <c r="H19" s="4">
        <v>3019</v>
      </c>
      <c r="I19" s="4">
        <v>3300</v>
      </c>
      <c r="J19" s="3" t="s">
        <v>22</v>
      </c>
      <c r="K19" s="3" t="s">
        <v>30</v>
      </c>
      <c r="L19">
        <f t="shared" si="3"/>
        <v>2025</v>
      </c>
      <c r="M19">
        <f t="shared" si="0"/>
        <v>10</v>
      </c>
      <c r="N19" t="str">
        <f t="shared" si="1"/>
        <v>Oct</v>
      </c>
      <c r="O19" t="str">
        <f t="shared" si="2"/>
        <v>2025-10</v>
      </c>
      <c r="P19" t="str">
        <f t="shared" si="4"/>
        <v>2025-W41</v>
      </c>
      <c r="Q19" t="str">
        <f t="shared" si="5"/>
        <v>Thu</v>
      </c>
    </row>
    <row r="20" spans="1:17" x14ac:dyDescent="0.3">
      <c r="A20" s="2">
        <v>45939</v>
      </c>
      <c r="B20" s="3" t="s">
        <v>62</v>
      </c>
      <c r="C20" s="3" t="s">
        <v>25</v>
      </c>
      <c r="D20" s="3" t="s">
        <v>26</v>
      </c>
      <c r="E20" s="3" t="s">
        <v>29</v>
      </c>
      <c r="F20" s="3" t="s">
        <v>21</v>
      </c>
      <c r="G20" s="3">
        <v>9</v>
      </c>
      <c r="H20" s="4">
        <v>374</v>
      </c>
      <c r="I20" s="4">
        <v>400</v>
      </c>
      <c r="J20" s="3" t="s">
        <v>39</v>
      </c>
      <c r="K20" s="3" t="s">
        <v>23</v>
      </c>
      <c r="L20">
        <f t="shared" si="3"/>
        <v>2025</v>
      </c>
      <c r="M20">
        <f t="shared" si="0"/>
        <v>10</v>
      </c>
      <c r="N20" t="str">
        <f t="shared" si="1"/>
        <v>Oct</v>
      </c>
      <c r="O20" t="str">
        <f t="shared" si="2"/>
        <v>2025-10</v>
      </c>
      <c r="P20" t="str">
        <f t="shared" si="4"/>
        <v>2025-W41</v>
      </c>
      <c r="Q20" t="str">
        <f t="shared" si="5"/>
        <v>Thu</v>
      </c>
    </row>
    <row r="21" spans="1:17" x14ac:dyDescent="0.3">
      <c r="A21" s="2">
        <v>45939</v>
      </c>
      <c r="B21" s="3" t="s">
        <v>63</v>
      </c>
      <c r="C21" s="3" t="s">
        <v>12</v>
      </c>
      <c r="D21" s="3" t="s">
        <v>19</v>
      </c>
      <c r="E21" s="3" t="s">
        <v>27</v>
      </c>
      <c r="F21" s="3" t="s">
        <v>15</v>
      </c>
      <c r="G21" s="3">
        <v>50</v>
      </c>
      <c r="H21" s="4">
        <v>2481</v>
      </c>
      <c r="I21" s="4">
        <v>2900</v>
      </c>
      <c r="J21" s="3" t="s">
        <v>39</v>
      </c>
      <c r="K21" s="3" t="s">
        <v>30</v>
      </c>
      <c r="L21">
        <f t="shared" si="3"/>
        <v>2025</v>
      </c>
      <c r="M21">
        <f t="shared" si="0"/>
        <v>10</v>
      </c>
      <c r="N21" t="str">
        <f t="shared" si="1"/>
        <v>Oct</v>
      </c>
      <c r="O21" t="str">
        <f t="shared" si="2"/>
        <v>2025-10</v>
      </c>
      <c r="P21" t="str">
        <f t="shared" si="4"/>
        <v>2025-W41</v>
      </c>
      <c r="Q21" t="str">
        <f t="shared" si="5"/>
        <v>Thu</v>
      </c>
    </row>
    <row r="22" spans="1:17" x14ac:dyDescent="0.3">
      <c r="A22" s="2">
        <v>45939</v>
      </c>
      <c r="B22" s="3" t="s">
        <v>64</v>
      </c>
      <c r="C22" s="3" t="s">
        <v>57</v>
      </c>
      <c r="D22" s="3" t="s">
        <v>65</v>
      </c>
      <c r="E22" s="3" t="s">
        <v>27</v>
      </c>
      <c r="F22" s="3" t="s">
        <v>15</v>
      </c>
      <c r="G22" s="3">
        <v>101</v>
      </c>
      <c r="H22" s="4">
        <v>4371</v>
      </c>
      <c r="I22" s="4">
        <v>5200</v>
      </c>
      <c r="J22" s="3" t="s">
        <v>22</v>
      </c>
      <c r="K22" s="3" t="s">
        <v>36</v>
      </c>
      <c r="L22">
        <f t="shared" si="3"/>
        <v>2025</v>
      </c>
      <c r="M22">
        <f t="shared" si="0"/>
        <v>10</v>
      </c>
      <c r="N22" t="str">
        <f t="shared" si="1"/>
        <v>Oct</v>
      </c>
      <c r="O22" t="str">
        <f t="shared" si="2"/>
        <v>2025-10</v>
      </c>
      <c r="P22" t="str">
        <f t="shared" si="4"/>
        <v>2025-W41</v>
      </c>
      <c r="Q22" t="str">
        <f t="shared" si="5"/>
        <v>Thu</v>
      </c>
    </row>
    <row r="23" spans="1:17" x14ac:dyDescent="0.3">
      <c r="A23" s="2">
        <v>45939</v>
      </c>
      <c r="B23" s="3" t="s">
        <v>66</v>
      </c>
      <c r="C23" s="3" t="s">
        <v>38</v>
      </c>
      <c r="D23" s="3" t="s">
        <v>47</v>
      </c>
      <c r="E23" s="3" t="s">
        <v>58</v>
      </c>
      <c r="F23" s="3" t="s">
        <v>59</v>
      </c>
      <c r="G23" s="3">
        <v>37</v>
      </c>
      <c r="H23" s="4">
        <v>3398</v>
      </c>
      <c r="I23" s="4">
        <v>3400</v>
      </c>
      <c r="J23" s="3" t="s">
        <v>22</v>
      </c>
      <c r="K23" s="3" t="s">
        <v>36</v>
      </c>
      <c r="L23">
        <f t="shared" si="3"/>
        <v>2025</v>
      </c>
      <c r="M23">
        <f t="shared" si="0"/>
        <v>10</v>
      </c>
      <c r="N23" t="str">
        <f t="shared" si="1"/>
        <v>Oct</v>
      </c>
      <c r="O23" t="str">
        <f t="shared" si="2"/>
        <v>2025-10</v>
      </c>
      <c r="P23" t="str">
        <f t="shared" si="4"/>
        <v>2025-W41</v>
      </c>
      <c r="Q23" t="str">
        <f t="shared" si="5"/>
        <v>Thu</v>
      </c>
    </row>
    <row r="24" spans="1:17" x14ac:dyDescent="0.3">
      <c r="A24" s="2">
        <v>45939</v>
      </c>
      <c r="B24" s="3" t="s">
        <v>67</v>
      </c>
      <c r="C24" s="3" t="s">
        <v>43</v>
      </c>
      <c r="D24" s="3" t="s">
        <v>26</v>
      </c>
      <c r="E24" s="3" t="s">
        <v>68</v>
      </c>
      <c r="F24" s="3" t="s">
        <v>34</v>
      </c>
      <c r="G24" s="3">
        <v>114</v>
      </c>
      <c r="H24" s="4">
        <v>7359</v>
      </c>
      <c r="I24" s="4">
        <v>6500</v>
      </c>
      <c r="J24" s="3" t="s">
        <v>39</v>
      </c>
      <c r="K24" s="3" t="s">
        <v>36</v>
      </c>
      <c r="L24">
        <f t="shared" si="3"/>
        <v>2025</v>
      </c>
      <c r="M24">
        <f t="shared" si="0"/>
        <v>10</v>
      </c>
      <c r="N24" t="str">
        <f t="shared" si="1"/>
        <v>Oct</v>
      </c>
      <c r="O24" t="str">
        <f t="shared" si="2"/>
        <v>2025-10</v>
      </c>
      <c r="P24" t="str">
        <f t="shared" si="4"/>
        <v>2025-W41</v>
      </c>
      <c r="Q24" t="str">
        <f t="shared" si="5"/>
        <v>Thu</v>
      </c>
    </row>
    <row r="25" spans="1:17" x14ac:dyDescent="0.3">
      <c r="A25" s="2">
        <v>45939</v>
      </c>
      <c r="B25" s="3" t="s">
        <v>69</v>
      </c>
      <c r="C25" s="3" t="s">
        <v>57</v>
      </c>
      <c r="D25" s="3" t="s">
        <v>53</v>
      </c>
      <c r="E25" s="3" t="s">
        <v>44</v>
      </c>
      <c r="F25" s="3" t="s">
        <v>34</v>
      </c>
      <c r="G25" s="3">
        <v>37</v>
      </c>
      <c r="H25" s="4">
        <v>2145</v>
      </c>
      <c r="I25" s="4">
        <v>1900</v>
      </c>
      <c r="J25" s="3" t="s">
        <v>22</v>
      </c>
      <c r="K25" s="3" t="s">
        <v>17</v>
      </c>
      <c r="L25">
        <f t="shared" si="3"/>
        <v>2025</v>
      </c>
      <c r="M25">
        <f t="shared" si="0"/>
        <v>10</v>
      </c>
      <c r="N25" t="str">
        <f t="shared" si="1"/>
        <v>Oct</v>
      </c>
      <c r="O25" t="str">
        <f t="shared" si="2"/>
        <v>2025-10</v>
      </c>
      <c r="P25" t="str">
        <f t="shared" si="4"/>
        <v>2025-W41</v>
      </c>
      <c r="Q25" t="str">
        <f t="shared" si="5"/>
        <v>Thu</v>
      </c>
    </row>
    <row r="26" spans="1:17" x14ac:dyDescent="0.3">
      <c r="A26" s="2">
        <v>45939</v>
      </c>
      <c r="B26" s="3" t="s">
        <v>70</v>
      </c>
      <c r="C26" s="3" t="s">
        <v>38</v>
      </c>
      <c r="D26" s="3" t="s">
        <v>53</v>
      </c>
      <c r="E26" s="3" t="s">
        <v>58</v>
      </c>
      <c r="F26" s="3" t="s">
        <v>59</v>
      </c>
      <c r="G26" s="3">
        <v>110</v>
      </c>
      <c r="H26" s="4">
        <v>8426</v>
      </c>
      <c r="I26" s="4">
        <v>8000</v>
      </c>
      <c r="J26" s="3" t="s">
        <v>16</v>
      </c>
      <c r="K26" s="3" t="s">
        <v>30</v>
      </c>
      <c r="L26">
        <f t="shared" si="3"/>
        <v>2025</v>
      </c>
      <c r="M26">
        <f t="shared" si="0"/>
        <v>10</v>
      </c>
      <c r="N26" t="str">
        <f t="shared" si="1"/>
        <v>Oct</v>
      </c>
      <c r="O26" t="str">
        <f t="shared" si="2"/>
        <v>2025-10</v>
      </c>
      <c r="P26" t="str">
        <f t="shared" si="4"/>
        <v>2025-W41</v>
      </c>
      <c r="Q26" t="str">
        <f t="shared" si="5"/>
        <v>Thu</v>
      </c>
    </row>
    <row r="27" spans="1:17" x14ac:dyDescent="0.3">
      <c r="A27" s="2">
        <v>45939</v>
      </c>
      <c r="B27" s="3" t="s">
        <v>71</v>
      </c>
      <c r="C27" s="3" t="s">
        <v>32</v>
      </c>
      <c r="D27" s="3" t="s">
        <v>19</v>
      </c>
      <c r="E27" s="3" t="s">
        <v>20</v>
      </c>
      <c r="F27" s="3" t="s">
        <v>21</v>
      </c>
      <c r="G27" s="3">
        <v>49</v>
      </c>
      <c r="H27" s="4">
        <v>1777</v>
      </c>
      <c r="I27" s="4">
        <v>1800</v>
      </c>
      <c r="J27" s="3" t="s">
        <v>22</v>
      </c>
      <c r="K27" s="3" t="s">
        <v>36</v>
      </c>
      <c r="L27">
        <f t="shared" si="3"/>
        <v>2025</v>
      </c>
      <c r="M27">
        <f t="shared" si="0"/>
        <v>10</v>
      </c>
      <c r="N27" t="str">
        <f t="shared" si="1"/>
        <v>Oct</v>
      </c>
      <c r="O27" t="str">
        <f t="shared" si="2"/>
        <v>2025-10</v>
      </c>
      <c r="P27" t="str">
        <f t="shared" si="4"/>
        <v>2025-W41</v>
      </c>
      <c r="Q27" t="str">
        <f t="shared" si="5"/>
        <v>Thu</v>
      </c>
    </row>
    <row r="28" spans="1:17" x14ac:dyDescent="0.3">
      <c r="A28" s="2">
        <v>45940</v>
      </c>
      <c r="B28" s="3" t="s">
        <v>72</v>
      </c>
      <c r="C28" s="3" t="s">
        <v>12</v>
      </c>
      <c r="D28" s="3" t="s">
        <v>65</v>
      </c>
      <c r="E28" s="3" t="s">
        <v>48</v>
      </c>
      <c r="F28" s="3" t="s">
        <v>15</v>
      </c>
      <c r="G28" s="3">
        <v>59</v>
      </c>
      <c r="H28" s="4">
        <v>2556</v>
      </c>
      <c r="I28" s="4">
        <v>3000</v>
      </c>
      <c r="J28" s="3" t="s">
        <v>22</v>
      </c>
      <c r="K28" s="3" t="s">
        <v>36</v>
      </c>
      <c r="L28">
        <f t="shared" si="3"/>
        <v>2025</v>
      </c>
      <c r="M28">
        <f t="shared" si="0"/>
        <v>10</v>
      </c>
      <c r="N28" t="str">
        <f t="shared" si="1"/>
        <v>Oct</v>
      </c>
      <c r="O28" t="str">
        <f t="shared" si="2"/>
        <v>2025-10</v>
      </c>
      <c r="P28" t="str">
        <f t="shared" si="4"/>
        <v>2025-W41</v>
      </c>
      <c r="Q28" t="str">
        <f t="shared" si="5"/>
        <v>Fri</v>
      </c>
    </row>
    <row r="29" spans="1:17" x14ac:dyDescent="0.3">
      <c r="A29" s="2">
        <v>45941</v>
      </c>
      <c r="B29" s="3" t="s">
        <v>73</v>
      </c>
      <c r="C29" s="3" t="s">
        <v>43</v>
      </c>
      <c r="D29" s="3" t="s">
        <v>65</v>
      </c>
      <c r="E29" s="3" t="s">
        <v>14</v>
      </c>
      <c r="F29" s="3" t="s">
        <v>15</v>
      </c>
      <c r="G29" s="3">
        <v>102</v>
      </c>
      <c r="H29" s="4">
        <v>5585</v>
      </c>
      <c r="I29" s="4">
        <v>6800</v>
      </c>
      <c r="J29" s="3" t="s">
        <v>39</v>
      </c>
      <c r="K29" s="3" t="s">
        <v>23</v>
      </c>
      <c r="L29">
        <f t="shared" si="3"/>
        <v>2025</v>
      </c>
      <c r="M29">
        <f t="shared" si="0"/>
        <v>10</v>
      </c>
      <c r="N29" t="str">
        <f t="shared" si="1"/>
        <v>Oct</v>
      </c>
      <c r="O29" t="str">
        <f t="shared" si="2"/>
        <v>2025-10</v>
      </c>
      <c r="P29" t="str">
        <f t="shared" si="4"/>
        <v>2025-W41</v>
      </c>
      <c r="Q29" t="str">
        <f t="shared" si="5"/>
        <v>Sat</v>
      </c>
    </row>
    <row r="30" spans="1:17" x14ac:dyDescent="0.3">
      <c r="A30" s="2">
        <v>45941</v>
      </c>
      <c r="B30" s="3" t="s">
        <v>74</v>
      </c>
      <c r="C30" s="3" t="s">
        <v>57</v>
      </c>
      <c r="D30" s="3" t="s">
        <v>53</v>
      </c>
      <c r="E30" s="3" t="s">
        <v>33</v>
      </c>
      <c r="F30" s="3" t="s">
        <v>34</v>
      </c>
      <c r="G30" s="3">
        <v>104</v>
      </c>
      <c r="H30" s="4">
        <v>6273</v>
      </c>
      <c r="I30" s="4">
        <v>7600</v>
      </c>
      <c r="J30" s="3" t="s">
        <v>22</v>
      </c>
      <c r="K30" s="3" t="s">
        <v>36</v>
      </c>
      <c r="L30">
        <f t="shared" si="3"/>
        <v>2025</v>
      </c>
      <c r="M30">
        <f t="shared" si="0"/>
        <v>10</v>
      </c>
      <c r="N30" t="str">
        <f t="shared" si="1"/>
        <v>Oct</v>
      </c>
      <c r="O30" t="str">
        <f t="shared" si="2"/>
        <v>2025-10</v>
      </c>
      <c r="P30" t="str">
        <f t="shared" si="4"/>
        <v>2025-W41</v>
      </c>
      <c r="Q30" t="str">
        <f t="shared" si="5"/>
        <v>Sat</v>
      </c>
    </row>
    <row r="31" spans="1:17" x14ac:dyDescent="0.3">
      <c r="A31" s="2">
        <v>45941</v>
      </c>
      <c r="B31" s="3" t="s">
        <v>75</v>
      </c>
      <c r="C31" s="3" t="s">
        <v>50</v>
      </c>
      <c r="D31" s="3" t="s">
        <v>19</v>
      </c>
      <c r="E31" s="3" t="s">
        <v>44</v>
      </c>
      <c r="F31" s="3" t="s">
        <v>34</v>
      </c>
      <c r="G31" s="3">
        <v>78</v>
      </c>
      <c r="H31" s="4">
        <v>4615</v>
      </c>
      <c r="I31" s="4">
        <v>4300</v>
      </c>
      <c r="J31" s="3" t="s">
        <v>22</v>
      </c>
      <c r="K31" s="3" t="s">
        <v>30</v>
      </c>
      <c r="L31">
        <f t="shared" si="3"/>
        <v>2025</v>
      </c>
      <c r="M31">
        <f t="shared" si="0"/>
        <v>10</v>
      </c>
      <c r="N31" t="str">
        <f t="shared" si="1"/>
        <v>Oct</v>
      </c>
      <c r="O31" t="str">
        <f t="shared" si="2"/>
        <v>2025-10</v>
      </c>
      <c r="P31" t="str">
        <f t="shared" si="4"/>
        <v>2025-W41</v>
      </c>
      <c r="Q31" t="str">
        <f t="shared" si="5"/>
        <v>Sat</v>
      </c>
    </row>
    <row r="32" spans="1:17" x14ac:dyDescent="0.3">
      <c r="A32" s="2">
        <v>45941</v>
      </c>
      <c r="B32" s="3" t="s">
        <v>76</v>
      </c>
      <c r="C32" s="3" t="s">
        <v>43</v>
      </c>
      <c r="D32" s="3" t="s">
        <v>26</v>
      </c>
      <c r="E32" s="3" t="s">
        <v>20</v>
      </c>
      <c r="F32" s="3" t="s">
        <v>21</v>
      </c>
      <c r="G32" s="3">
        <v>55</v>
      </c>
      <c r="H32" s="4">
        <v>1727</v>
      </c>
      <c r="I32" s="4">
        <v>1400</v>
      </c>
      <c r="J32" s="3" t="s">
        <v>22</v>
      </c>
      <c r="K32" s="3" t="s">
        <v>30</v>
      </c>
      <c r="L32">
        <f t="shared" si="3"/>
        <v>2025</v>
      </c>
      <c r="M32">
        <f t="shared" si="0"/>
        <v>10</v>
      </c>
      <c r="N32" t="str">
        <f t="shared" si="1"/>
        <v>Oct</v>
      </c>
      <c r="O32" t="str">
        <f t="shared" si="2"/>
        <v>2025-10</v>
      </c>
      <c r="P32" t="str">
        <f t="shared" si="4"/>
        <v>2025-W41</v>
      </c>
      <c r="Q32" t="str">
        <f t="shared" si="5"/>
        <v>Sat</v>
      </c>
    </row>
    <row r="33" spans="1:17" x14ac:dyDescent="0.3">
      <c r="A33" s="2">
        <v>45942</v>
      </c>
      <c r="B33" s="3" t="s">
        <v>77</v>
      </c>
      <c r="C33" s="3" t="s">
        <v>38</v>
      </c>
      <c r="D33" s="3" t="s">
        <v>19</v>
      </c>
      <c r="E33" s="3" t="s">
        <v>44</v>
      </c>
      <c r="F33" s="3" t="s">
        <v>34</v>
      </c>
      <c r="G33" s="3">
        <v>76</v>
      </c>
      <c r="H33" s="4">
        <v>4642</v>
      </c>
      <c r="I33" s="4">
        <v>5800</v>
      </c>
      <c r="J33" s="3" t="s">
        <v>16</v>
      </c>
      <c r="K33" s="3" t="s">
        <v>36</v>
      </c>
      <c r="L33">
        <f t="shared" si="3"/>
        <v>2025</v>
      </c>
      <c r="M33">
        <f t="shared" si="0"/>
        <v>10</v>
      </c>
      <c r="N33" t="str">
        <f t="shared" si="1"/>
        <v>Oct</v>
      </c>
      <c r="O33" t="str">
        <f t="shared" si="2"/>
        <v>2025-10</v>
      </c>
      <c r="P33" t="str">
        <f t="shared" si="4"/>
        <v>2025-W41</v>
      </c>
      <c r="Q33" t="str">
        <f t="shared" si="5"/>
        <v>Sun</v>
      </c>
    </row>
    <row r="34" spans="1:17" x14ac:dyDescent="0.3">
      <c r="A34" s="2">
        <v>45942</v>
      </c>
      <c r="B34" s="3" t="s">
        <v>78</v>
      </c>
      <c r="C34" s="3" t="s">
        <v>50</v>
      </c>
      <c r="D34" s="3" t="s">
        <v>47</v>
      </c>
      <c r="E34" s="3" t="s">
        <v>29</v>
      </c>
      <c r="F34" s="3" t="s">
        <v>21</v>
      </c>
      <c r="G34" s="3">
        <v>51</v>
      </c>
      <c r="H34" s="4">
        <v>1755</v>
      </c>
      <c r="I34" s="4">
        <v>1800</v>
      </c>
      <c r="J34" s="3" t="s">
        <v>22</v>
      </c>
      <c r="K34" s="3" t="s">
        <v>36</v>
      </c>
      <c r="L34">
        <f t="shared" si="3"/>
        <v>2025</v>
      </c>
      <c r="M34">
        <f t="shared" si="0"/>
        <v>10</v>
      </c>
      <c r="N34" t="str">
        <f t="shared" si="1"/>
        <v>Oct</v>
      </c>
      <c r="O34" t="str">
        <f t="shared" si="2"/>
        <v>2025-10</v>
      </c>
      <c r="P34" t="str">
        <f t="shared" si="4"/>
        <v>2025-W41</v>
      </c>
      <c r="Q34" t="str">
        <f t="shared" si="5"/>
        <v>Sun</v>
      </c>
    </row>
    <row r="35" spans="1:17" x14ac:dyDescent="0.3">
      <c r="A35" s="2">
        <v>45943</v>
      </c>
      <c r="B35" s="3" t="s">
        <v>79</v>
      </c>
      <c r="C35" s="3" t="s">
        <v>57</v>
      </c>
      <c r="D35" s="3" t="s">
        <v>13</v>
      </c>
      <c r="E35" s="3" t="s">
        <v>27</v>
      </c>
      <c r="F35" s="3" t="s">
        <v>15</v>
      </c>
      <c r="G35" s="3">
        <v>33</v>
      </c>
      <c r="H35" s="4">
        <v>1612</v>
      </c>
      <c r="I35" s="4">
        <v>1300</v>
      </c>
      <c r="J35" s="3" t="s">
        <v>22</v>
      </c>
      <c r="K35" s="3" t="s">
        <v>36</v>
      </c>
      <c r="L35">
        <f t="shared" si="3"/>
        <v>2025</v>
      </c>
      <c r="M35">
        <f t="shared" si="0"/>
        <v>10</v>
      </c>
      <c r="N35" t="str">
        <f t="shared" si="1"/>
        <v>Oct</v>
      </c>
      <c r="O35" t="str">
        <f t="shared" si="2"/>
        <v>2025-10</v>
      </c>
      <c r="P35" t="str">
        <f t="shared" si="4"/>
        <v>2025-W42</v>
      </c>
      <c r="Q35" t="str">
        <f t="shared" si="5"/>
        <v>Mon</v>
      </c>
    </row>
    <row r="36" spans="1:17" x14ac:dyDescent="0.3">
      <c r="A36" s="2">
        <v>45943</v>
      </c>
      <c r="B36" s="3" t="s">
        <v>80</v>
      </c>
      <c r="C36" s="3" t="s">
        <v>50</v>
      </c>
      <c r="D36" s="3" t="s">
        <v>26</v>
      </c>
      <c r="E36" s="3" t="s">
        <v>48</v>
      </c>
      <c r="F36" s="3" t="s">
        <v>15</v>
      </c>
      <c r="G36" s="3">
        <v>20</v>
      </c>
      <c r="H36" s="4">
        <v>886</v>
      </c>
      <c r="I36" s="4">
        <v>1000</v>
      </c>
      <c r="J36" s="3" t="s">
        <v>22</v>
      </c>
      <c r="K36" s="3" t="s">
        <v>23</v>
      </c>
      <c r="L36">
        <f t="shared" si="3"/>
        <v>2025</v>
      </c>
      <c r="M36">
        <f t="shared" si="0"/>
        <v>10</v>
      </c>
      <c r="N36" t="str">
        <f t="shared" si="1"/>
        <v>Oct</v>
      </c>
      <c r="O36" t="str">
        <f t="shared" si="2"/>
        <v>2025-10</v>
      </c>
      <c r="P36" t="str">
        <f t="shared" si="4"/>
        <v>2025-W42</v>
      </c>
      <c r="Q36" t="str">
        <f t="shared" si="5"/>
        <v>Mon</v>
      </c>
    </row>
    <row r="37" spans="1:17" x14ac:dyDescent="0.3">
      <c r="A37" s="2">
        <v>45943</v>
      </c>
      <c r="B37" s="3" t="s">
        <v>81</v>
      </c>
      <c r="C37" s="3" t="s">
        <v>38</v>
      </c>
      <c r="D37" s="3" t="s">
        <v>65</v>
      </c>
      <c r="E37" s="3" t="s">
        <v>29</v>
      </c>
      <c r="F37" s="3" t="s">
        <v>21</v>
      </c>
      <c r="G37" s="3">
        <v>56</v>
      </c>
      <c r="H37" s="4">
        <v>2022</v>
      </c>
      <c r="I37" s="4">
        <v>1700</v>
      </c>
      <c r="J37" s="3" t="s">
        <v>22</v>
      </c>
      <c r="K37" s="3" t="s">
        <v>36</v>
      </c>
      <c r="L37">
        <f t="shared" si="3"/>
        <v>2025</v>
      </c>
      <c r="M37">
        <f t="shared" si="0"/>
        <v>10</v>
      </c>
      <c r="N37" t="str">
        <f t="shared" si="1"/>
        <v>Oct</v>
      </c>
      <c r="O37" t="str">
        <f t="shared" si="2"/>
        <v>2025-10</v>
      </c>
      <c r="P37" t="str">
        <f t="shared" si="4"/>
        <v>2025-W42</v>
      </c>
      <c r="Q37" t="str">
        <f t="shared" si="5"/>
        <v>Mon</v>
      </c>
    </row>
    <row r="38" spans="1:17" x14ac:dyDescent="0.3">
      <c r="A38" s="2">
        <v>45944</v>
      </c>
      <c r="B38" s="3" t="s">
        <v>82</v>
      </c>
      <c r="C38" s="3" t="s">
        <v>38</v>
      </c>
      <c r="D38" s="3" t="s">
        <v>26</v>
      </c>
      <c r="E38" s="3" t="s">
        <v>68</v>
      </c>
      <c r="F38" s="3" t="s">
        <v>34</v>
      </c>
      <c r="G38" s="3">
        <v>106</v>
      </c>
      <c r="H38" s="4">
        <v>5797</v>
      </c>
      <c r="I38" s="4">
        <v>5200</v>
      </c>
      <c r="J38" s="3" t="s">
        <v>22</v>
      </c>
      <c r="K38" s="3" t="s">
        <v>30</v>
      </c>
      <c r="L38">
        <f t="shared" si="3"/>
        <v>2025</v>
      </c>
      <c r="M38">
        <f t="shared" si="0"/>
        <v>10</v>
      </c>
      <c r="N38" t="str">
        <f t="shared" si="1"/>
        <v>Oct</v>
      </c>
      <c r="O38" t="str">
        <f t="shared" si="2"/>
        <v>2025-10</v>
      </c>
      <c r="P38" t="str">
        <f t="shared" si="4"/>
        <v>2025-W42</v>
      </c>
      <c r="Q38" t="str">
        <f t="shared" si="5"/>
        <v>Tue</v>
      </c>
    </row>
    <row r="39" spans="1:17" x14ac:dyDescent="0.3">
      <c r="A39" s="2">
        <v>45944</v>
      </c>
      <c r="B39" s="3" t="s">
        <v>83</v>
      </c>
      <c r="C39" s="3" t="s">
        <v>25</v>
      </c>
      <c r="D39" s="3" t="s">
        <v>26</v>
      </c>
      <c r="E39" s="3" t="s">
        <v>14</v>
      </c>
      <c r="F39" s="3" t="s">
        <v>15</v>
      </c>
      <c r="G39" s="3">
        <v>70</v>
      </c>
      <c r="H39" s="4">
        <v>3398</v>
      </c>
      <c r="I39" s="4">
        <v>4100</v>
      </c>
      <c r="J39" s="3" t="s">
        <v>22</v>
      </c>
      <c r="K39" s="3" t="s">
        <v>30</v>
      </c>
      <c r="L39">
        <f t="shared" si="3"/>
        <v>2025</v>
      </c>
      <c r="M39">
        <f t="shared" si="0"/>
        <v>10</v>
      </c>
      <c r="N39" t="str">
        <f t="shared" si="1"/>
        <v>Oct</v>
      </c>
      <c r="O39" t="str">
        <f t="shared" si="2"/>
        <v>2025-10</v>
      </c>
      <c r="P39" t="str">
        <f t="shared" si="4"/>
        <v>2025-W42</v>
      </c>
      <c r="Q39" t="str">
        <f t="shared" si="5"/>
        <v>Tue</v>
      </c>
    </row>
    <row r="40" spans="1:17" x14ac:dyDescent="0.3">
      <c r="A40" s="2">
        <v>45944</v>
      </c>
      <c r="B40" s="3" t="s">
        <v>84</v>
      </c>
      <c r="C40" s="3" t="s">
        <v>43</v>
      </c>
      <c r="D40" s="3" t="s">
        <v>19</v>
      </c>
      <c r="E40" s="3" t="s">
        <v>27</v>
      </c>
      <c r="F40" s="3" t="s">
        <v>15</v>
      </c>
      <c r="G40" s="3">
        <v>44</v>
      </c>
      <c r="H40" s="4">
        <v>1907</v>
      </c>
      <c r="I40" s="4">
        <v>1900</v>
      </c>
      <c r="J40" s="3" t="s">
        <v>22</v>
      </c>
      <c r="K40" s="3" t="s">
        <v>23</v>
      </c>
      <c r="L40">
        <f t="shared" si="3"/>
        <v>2025</v>
      </c>
      <c r="M40">
        <f t="shared" si="0"/>
        <v>10</v>
      </c>
      <c r="N40" t="str">
        <f t="shared" si="1"/>
        <v>Oct</v>
      </c>
      <c r="O40" t="str">
        <f t="shared" si="2"/>
        <v>2025-10</v>
      </c>
      <c r="P40" t="str">
        <f t="shared" si="4"/>
        <v>2025-W42</v>
      </c>
      <c r="Q40" t="str">
        <f t="shared" si="5"/>
        <v>Tue</v>
      </c>
    </row>
    <row r="41" spans="1:17" x14ac:dyDescent="0.3">
      <c r="A41" s="2">
        <v>45945</v>
      </c>
      <c r="B41" s="3" t="s">
        <v>85</v>
      </c>
      <c r="C41" s="3" t="s">
        <v>50</v>
      </c>
      <c r="D41" s="3" t="s">
        <v>65</v>
      </c>
      <c r="E41" s="3" t="s">
        <v>14</v>
      </c>
      <c r="F41" s="3" t="s">
        <v>15</v>
      </c>
      <c r="G41" s="3">
        <v>24</v>
      </c>
      <c r="H41" s="4">
        <v>1212</v>
      </c>
      <c r="I41" s="4">
        <v>1300</v>
      </c>
      <c r="J41" s="3" t="s">
        <v>16</v>
      </c>
      <c r="K41" s="3" t="s">
        <v>17</v>
      </c>
      <c r="L41">
        <f t="shared" si="3"/>
        <v>2025</v>
      </c>
      <c r="M41">
        <f t="shared" si="0"/>
        <v>10</v>
      </c>
      <c r="N41" t="str">
        <f t="shared" si="1"/>
        <v>Oct</v>
      </c>
      <c r="O41" t="str">
        <f t="shared" si="2"/>
        <v>2025-10</v>
      </c>
      <c r="P41" t="str">
        <f t="shared" si="4"/>
        <v>2025-W42</v>
      </c>
      <c r="Q41" t="str">
        <f t="shared" si="5"/>
        <v>Wed</v>
      </c>
    </row>
    <row r="42" spans="1:17" x14ac:dyDescent="0.3">
      <c r="A42" s="2">
        <v>45946</v>
      </c>
      <c r="B42" s="3" t="s">
        <v>86</v>
      </c>
      <c r="C42" s="3" t="s">
        <v>57</v>
      </c>
      <c r="D42" s="3" t="s">
        <v>26</v>
      </c>
      <c r="E42" s="3" t="s">
        <v>27</v>
      </c>
      <c r="F42" s="3" t="s">
        <v>15</v>
      </c>
      <c r="G42" s="3">
        <v>94</v>
      </c>
      <c r="H42" s="4">
        <v>5372</v>
      </c>
      <c r="I42" s="4">
        <v>5200</v>
      </c>
      <c r="J42" s="3" t="s">
        <v>22</v>
      </c>
      <c r="K42" s="3" t="s">
        <v>23</v>
      </c>
      <c r="L42">
        <f t="shared" si="3"/>
        <v>2025</v>
      </c>
      <c r="M42">
        <f t="shared" si="0"/>
        <v>10</v>
      </c>
      <c r="N42" t="str">
        <f t="shared" si="1"/>
        <v>Oct</v>
      </c>
      <c r="O42" t="str">
        <f t="shared" si="2"/>
        <v>2025-10</v>
      </c>
      <c r="P42" t="str">
        <f t="shared" si="4"/>
        <v>2025-W42</v>
      </c>
      <c r="Q42" t="str">
        <f t="shared" si="5"/>
        <v>Thu</v>
      </c>
    </row>
    <row r="43" spans="1:17" x14ac:dyDescent="0.3">
      <c r="A43" s="2">
        <v>45946</v>
      </c>
      <c r="B43" s="3" t="s">
        <v>87</v>
      </c>
      <c r="C43" s="3" t="s">
        <v>43</v>
      </c>
      <c r="D43" s="3" t="s">
        <v>53</v>
      </c>
      <c r="E43" s="3" t="s">
        <v>14</v>
      </c>
      <c r="F43" s="3" t="s">
        <v>15</v>
      </c>
      <c r="G43" s="3">
        <v>101</v>
      </c>
      <c r="H43" s="4">
        <v>5380</v>
      </c>
      <c r="I43" s="4">
        <v>5800</v>
      </c>
      <c r="J43" s="3" t="s">
        <v>22</v>
      </c>
      <c r="K43" s="3" t="s">
        <v>30</v>
      </c>
      <c r="L43">
        <f t="shared" si="3"/>
        <v>2025</v>
      </c>
      <c r="M43">
        <f t="shared" si="0"/>
        <v>10</v>
      </c>
      <c r="N43" t="str">
        <f t="shared" si="1"/>
        <v>Oct</v>
      </c>
      <c r="O43" t="str">
        <f t="shared" si="2"/>
        <v>2025-10</v>
      </c>
      <c r="P43" t="str">
        <f t="shared" si="4"/>
        <v>2025-W42</v>
      </c>
      <c r="Q43" t="str">
        <f t="shared" si="5"/>
        <v>Thu</v>
      </c>
    </row>
    <row r="44" spans="1:17" x14ac:dyDescent="0.3">
      <c r="A44" s="2">
        <v>45947</v>
      </c>
      <c r="B44" s="3" t="s">
        <v>88</v>
      </c>
      <c r="C44" s="3" t="s">
        <v>32</v>
      </c>
      <c r="D44" s="3" t="s">
        <v>26</v>
      </c>
      <c r="E44" s="3" t="s">
        <v>58</v>
      </c>
      <c r="F44" s="3" t="s">
        <v>59</v>
      </c>
      <c r="G44" s="3">
        <v>106</v>
      </c>
      <c r="H44" s="4">
        <v>9908</v>
      </c>
      <c r="I44" s="4">
        <v>9200</v>
      </c>
      <c r="J44" s="3" t="s">
        <v>39</v>
      </c>
      <c r="K44" s="3" t="s">
        <v>36</v>
      </c>
      <c r="L44">
        <f t="shared" si="3"/>
        <v>2025</v>
      </c>
      <c r="M44">
        <f t="shared" si="0"/>
        <v>10</v>
      </c>
      <c r="N44" t="str">
        <f t="shared" si="1"/>
        <v>Oct</v>
      </c>
      <c r="O44" t="str">
        <f t="shared" si="2"/>
        <v>2025-10</v>
      </c>
      <c r="P44" t="str">
        <f t="shared" si="4"/>
        <v>2025-W42</v>
      </c>
      <c r="Q44" t="str">
        <f t="shared" si="5"/>
        <v>Fri</v>
      </c>
    </row>
    <row r="45" spans="1:17" x14ac:dyDescent="0.3">
      <c r="A45" s="2">
        <v>45947</v>
      </c>
      <c r="B45" s="3" t="s">
        <v>89</v>
      </c>
      <c r="C45" s="3" t="s">
        <v>38</v>
      </c>
      <c r="D45" s="3" t="s">
        <v>13</v>
      </c>
      <c r="E45" s="3" t="s">
        <v>29</v>
      </c>
      <c r="F45" s="3" t="s">
        <v>21</v>
      </c>
      <c r="G45" s="3">
        <v>90</v>
      </c>
      <c r="H45" s="4">
        <v>2857</v>
      </c>
      <c r="I45" s="4">
        <v>2900</v>
      </c>
      <c r="J45" s="3" t="s">
        <v>39</v>
      </c>
      <c r="K45" s="3" t="s">
        <v>30</v>
      </c>
      <c r="L45">
        <f t="shared" si="3"/>
        <v>2025</v>
      </c>
      <c r="M45">
        <f t="shared" si="0"/>
        <v>10</v>
      </c>
      <c r="N45" t="str">
        <f t="shared" si="1"/>
        <v>Oct</v>
      </c>
      <c r="O45" t="str">
        <f t="shared" si="2"/>
        <v>2025-10</v>
      </c>
      <c r="P45" t="str">
        <f t="shared" si="4"/>
        <v>2025-W42</v>
      </c>
      <c r="Q45" t="str">
        <f t="shared" si="5"/>
        <v>Fri</v>
      </c>
    </row>
    <row r="46" spans="1:17" x14ac:dyDescent="0.3">
      <c r="A46" s="2">
        <v>45947</v>
      </c>
      <c r="B46" s="3" t="s">
        <v>90</v>
      </c>
      <c r="C46" s="3" t="s">
        <v>91</v>
      </c>
      <c r="D46" s="3" t="s">
        <v>53</v>
      </c>
      <c r="E46" s="3" t="s">
        <v>48</v>
      </c>
      <c r="F46" s="3" t="s">
        <v>15</v>
      </c>
      <c r="G46" s="3">
        <v>56</v>
      </c>
      <c r="H46" s="4">
        <v>2675</v>
      </c>
      <c r="I46" s="4">
        <v>2300</v>
      </c>
      <c r="J46" s="3" t="s">
        <v>39</v>
      </c>
      <c r="K46" s="3" t="s">
        <v>36</v>
      </c>
      <c r="L46">
        <f t="shared" si="3"/>
        <v>2025</v>
      </c>
      <c r="M46">
        <f t="shared" si="0"/>
        <v>10</v>
      </c>
      <c r="N46" t="str">
        <f t="shared" si="1"/>
        <v>Oct</v>
      </c>
      <c r="O46" t="str">
        <f t="shared" si="2"/>
        <v>2025-10</v>
      </c>
      <c r="P46" t="str">
        <f t="shared" si="4"/>
        <v>2025-W42</v>
      </c>
      <c r="Q46" t="str">
        <f t="shared" si="5"/>
        <v>Fri</v>
      </c>
    </row>
    <row r="47" spans="1:17" x14ac:dyDescent="0.3">
      <c r="A47" s="2">
        <v>45948</v>
      </c>
      <c r="B47" s="3" t="s">
        <v>92</v>
      </c>
      <c r="C47" s="3" t="s">
        <v>38</v>
      </c>
      <c r="D47" s="3" t="s">
        <v>47</v>
      </c>
      <c r="E47" s="3" t="s">
        <v>61</v>
      </c>
      <c r="F47" s="3" t="s">
        <v>59</v>
      </c>
      <c r="G47" s="3">
        <v>25</v>
      </c>
      <c r="H47" s="4">
        <v>2225</v>
      </c>
      <c r="I47" s="4">
        <v>1800</v>
      </c>
      <c r="J47" s="3" t="s">
        <v>22</v>
      </c>
      <c r="K47" s="3" t="s">
        <v>23</v>
      </c>
      <c r="L47">
        <f t="shared" si="3"/>
        <v>2025</v>
      </c>
      <c r="M47">
        <f t="shared" si="0"/>
        <v>10</v>
      </c>
      <c r="N47" t="str">
        <f t="shared" si="1"/>
        <v>Oct</v>
      </c>
      <c r="O47" t="str">
        <f t="shared" si="2"/>
        <v>2025-10</v>
      </c>
      <c r="P47" t="str">
        <f t="shared" si="4"/>
        <v>2025-W42</v>
      </c>
      <c r="Q47" t="str">
        <f t="shared" si="5"/>
        <v>Sat</v>
      </c>
    </row>
    <row r="48" spans="1:17" x14ac:dyDescent="0.3">
      <c r="A48" s="2">
        <v>45949</v>
      </c>
      <c r="B48" s="3" t="s">
        <v>93</v>
      </c>
      <c r="C48" s="3" t="s">
        <v>25</v>
      </c>
      <c r="D48" s="3" t="s">
        <v>19</v>
      </c>
      <c r="E48" s="3" t="s">
        <v>27</v>
      </c>
      <c r="F48" s="3" t="s">
        <v>15</v>
      </c>
      <c r="G48" s="3">
        <v>52</v>
      </c>
      <c r="H48" s="4">
        <v>2857</v>
      </c>
      <c r="I48" s="4">
        <v>2400</v>
      </c>
      <c r="J48" s="3" t="s">
        <v>22</v>
      </c>
      <c r="K48" s="3" t="s">
        <v>30</v>
      </c>
      <c r="L48">
        <f t="shared" si="3"/>
        <v>2025</v>
      </c>
      <c r="M48">
        <f t="shared" si="0"/>
        <v>10</v>
      </c>
      <c r="N48" t="str">
        <f t="shared" si="1"/>
        <v>Oct</v>
      </c>
      <c r="O48" t="str">
        <f t="shared" si="2"/>
        <v>2025-10</v>
      </c>
      <c r="P48" t="str">
        <f t="shared" si="4"/>
        <v>2025-W42</v>
      </c>
      <c r="Q48" t="str">
        <f t="shared" si="5"/>
        <v>Sun</v>
      </c>
    </row>
    <row r="49" spans="1:17" x14ac:dyDescent="0.3">
      <c r="A49" s="2">
        <v>45950</v>
      </c>
      <c r="B49" s="3" t="s">
        <v>94</v>
      </c>
      <c r="C49" s="3" t="s">
        <v>43</v>
      </c>
      <c r="D49" s="3" t="s">
        <v>53</v>
      </c>
      <c r="E49" s="3" t="s">
        <v>14</v>
      </c>
      <c r="F49" s="3" t="s">
        <v>15</v>
      </c>
      <c r="G49" s="3">
        <v>92</v>
      </c>
      <c r="H49" s="4">
        <v>4469</v>
      </c>
      <c r="I49" s="4">
        <v>5400</v>
      </c>
      <c r="J49" s="3" t="s">
        <v>22</v>
      </c>
      <c r="K49" s="3" t="s">
        <v>30</v>
      </c>
      <c r="L49">
        <f t="shared" si="3"/>
        <v>2025</v>
      </c>
      <c r="M49">
        <f t="shared" si="0"/>
        <v>10</v>
      </c>
      <c r="N49" t="str">
        <f t="shared" si="1"/>
        <v>Oct</v>
      </c>
      <c r="O49" t="str">
        <f t="shared" si="2"/>
        <v>2025-10</v>
      </c>
      <c r="P49" t="str">
        <f t="shared" si="4"/>
        <v>2025-W43</v>
      </c>
      <c r="Q49" t="str">
        <f t="shared" si="5"/>
        <v>Mon</v>
      </c>
    </row>
    <row r="50" spans="1:17" x14ac:dyDescent="0.3">
      <c r="A50" s="2">
        <v>45951</v>
      </c>
      <c r="B50" s="3" t="s">
        <v>95</v>
      </c>
      <c r="C50" s="3" t="s">
        <v>32</v>
      </c>
      <c r="D50" s="3" t="s">
        <v>26</v>
      </c>
      <c r="E50" s="3" t="s">
        <v>68</v>
      </c>
      <c r="F50" s="3" t="s">
        <v>34</v>
      </c>
      <c r="G50" s="3">
        <v>49</v>
      </c>
      <c r="H50" s="4">
        <v>3191</v>
      </c>
      <c r="I50" s="4">
        <v>3000</v>
      </c>
      <c r="J50" s="3" t="s">
        <v>22</v>
      </c>
      <c r="K50" s="3" t="s">
        <v>30</v>
      </c>
      <c r="L50">
        <f t="shared" si="3"/>
        <v>2025</v>
      </c>
      <c r="M50">
        <f t="shared" si="0"/>
        <v>10</v>
      </c>
      <c r="N50" t="str">
        <f t="shared" si="1"/>
        <v>Oct</v>
      </c>
      <c r="O50" t="str">
        <f t="shared" si="2"/>
        <v>2025-10</v>
      </c>
      <c r="P50" t="str">
        <f t="shared" si="4"/>
        <v>2025-W43</v>
      </c>
      <c r="Q50" t="str">
        <f t="shared" si="5"/>
        <v>Tue</v>
      </c>
    </row>
    <row r="51" spans="1:17" x14ac:dyDescent="0.3">
      <c r="A51" s="2">
        <v>45951</v>
      </c>
      <c r="B51" s="3" t="s">
        <v>96</v>
      </c>
      <c r="C51" s="3" t="s">
        <v>43</v>
      </c>
      <c r="D51" s="3" t="s">
        <v>47</v>
      </c>
      <c r="E51" s="3" t="s">
        <v>27</v>
      </c>
      <c r="F51" s="3" t="s">
        <v>15</v>
      </c>
      <c r="G51" s="3">
        <v>63</v>
      </c>
      <c r="H51" s="4">
        <v>3268</v>
      </c>
      <c r="I51" s="4">
        <v>3100</v>
      </c>
      <c r="J51" s="3" t="s">
        <v>22</v>
      </c>
      <c r="K51" s="3" t="s">
        <v>30</v>
      </c>
      <c r="L51">
        <f t="shared" si="3"/>
        <v>2025</v>
      </c>
      <c r="M51">
        <f t="shared" si="0"/>
        <v>10</v>
      </c>
      <c r="N51" t="str">
        <f t="shared" si="1"/>
        <v>Oct</v>
      </c>
      <c r="O51" t="str">
        <f t="shared" si="2"/>
        <v>2025-10</v>
      </c>
      <c r="P51" t="str">
        <f t="shared" si="4"/>
        <v>2025-W43</v>
      </c>
      <c r="Q51" t="str">
        <f t="shared" si="5"/>
        <v>Tue</v>
      </c>
    </row>
    <row r="52" spans="1:17" x14ac:dyDescent="0.3">
      <c r="A52" s="2">
        <v>45951</v>
      </c>
      <c r="B52" s="3" t="s">
        <v>97</v>
      </c>
      <c r="C52" s="3" t="s">
        <v>91</v>
      </c>
      <c r="D52" s="3" t="s">
        <v>26</v>
      </c>
      <c r="E52" s="3" t="s">
        <v>33</v>
      </c>
      <c r="F52" s="3" t="s">
        <v>34</v>
      </c>
      <c r="G52" s="3">
        <v>106</v>
      </c>
      <c r="H52" s="4">
        <v>5302</v>
      </c>
      <c r="I52" s="4">
        <v>5200</v>
      </c>
      <c r="J52" s="3" t="s">
        <v>22</v>
      </c>
      <c r="K52" s="3" t="s">
        <v>30</v>
      </c>
      <c r="L52">
        <f t="shared" si="3"/>
        <v>2025</v>
      </c>
      <c r="M52">
        <f t="shared" si="0"/>
        <v>10</v>
      </c>
      <c r="N52" t="str">
        <f t="shared" si="1"/>
        <v>Oct</v>
      </c>
      <c r="O52" t="str">
        <f t="shared" si="2"/>
        <v>2025-10</v>
      </c>
      <c r="P52" t="str">
        <f t="shared" si="4"/>
        <v>2025-W43</v>
      </c>
      <c r="Q52" t="str">
        <f t="shared" si="5"/>
        <v>Tue</v>
      </c>
    </row>
    <row r="53" spans="1:17" x14ac:dyDescent="0.3">
      <c r="A53" s="2">
        <v>45951</v>
      </c>
      <c r="B53" s="3" t="s">
        <v>98</v>
      </c>
      <c r="C53" s="3" t="s">
        <v>91</v>
      </c>
      <c r="D53" s="3" t="s">
        <v>65</v>
      </c>
      <c r="E53" s="3" t="s">
        <v>48</v>
      </c>
      <c r="F53" s="3" t="s">
        <v>15</v>
      </c>
      <c r="G53" s="3">
        <v>119</v>
      </c>
      <c r="H53" s="4">
        <v>5964</v>
      </c>
      <c r="I53" s="4">
        <v>6900</v>
      </c>
      <c r="J53" s="3" t="s">
        <v>22</v>
      </c>
      <c r="K53" s="3" t="s">
        <v>17</v>
      </c>
      <c r="L53">
        <f t="shared" si="3"/>
        <v>2025</v>
      </c>
      <c r="M53">
        <f t="shared" si="0"/>
        <v>10</v>
      </c>
      <c r="N53" t="str">
        <f t="shared" si="1"/>
        <v>Oct</v>
      </c>
      <c r="O53" t="str">
        <f t="shared" si="2"/>
        <v>2025-10</v>
      </c>
      <c r="P53" t="str">
        <f t="shared" si="4"/>
        <v>2025-W43</v>
      </c>
      <c r="Q53" t="str">
        <f t="shared" si="5"/>
        <v>Tue</v>
      </c>
    </row>
    <row r="54" spans="1:17" x14ac:dyDescent="0.3">
      <c r="A54" s="2">
        <v>45952</v>
      </c>
      <c r="B54" s="3" t="s">
        <v>99</v>
      </c>
      <c r="C54" s="3" t="s">
        <v>91</v>
      </c>
      <c r="D54" s="3" t="s">
        <v>26</v>
      </c>
      <c r="E54" s="3" t="s">
        <v>20</v>
      </c>
      <c r="F54" s="3" t="s">
        <v>21</v>
      </c>
      <c r="G54" s="3">
        <v>12</v>
      </c>
      <c r="H54" s="4">
        <v>497</v>
      </c>
      <c r="I54" s="4">
        <v>600</v>
      </c>
      <c r="J54" s="3" t="s">
        <v>22</v>
      </c>
      <c r="K54" s="3" t="s">
        <v>30</v>
      </c>
      <c r="L54">
        <f t="shared" si="3"/>
        <v>2025</v>
      </c>
      <c r="M54">
        <f t="shared" si="0"/>
        <v>10</v>
      </c>
      <c r="N54" t="str">
        <f t="shared" si="1"/>
        <v>Oct</v>
      </c>
      <c r="O54" t="str">
        <f t="shared" si="2"/>
        <v>2025-10</v>
      </c>
      <c r="P54" t="str">
        <f t="shared" si="4"/>
        <v>2025-W43</v>
      </c>
      <c r="Q54" t="str">
        <f t="shared" si="5"/>
        <v>Wed</v>
      </c>
    </row>
    <row r="55" spans="1:17" x14ac:dyDescent="0.3">
      <c r="A55" s="2">
        <v>45952</v>
      </c>
      <c r="B55" s="3" t="s">
        <v>100</v>
      </c>
      <c r="C55" s="3" t="s">
        <v>50</v>
      </c>
      <c r="D55" s="3" t="s">
        <v>47</v>
      </c>
      <c r="E55" s="3" t="s">
        <v>33</v>
      </c>
      <c r="F55" s="3" t="s">
        <v>34</v>
      </c>
      <c r="G55" s="3">
        <v>68</v>
      </c>
      <c r="H55" s="4">
        <v>3597</v>
      </c>
      <c r="I55" s="4">
        <v>2900</v>
      </c>
      <c r="J55" s="3" t="s">
        <v>22</v>
      </c>
      <c r="K55" s="3" t="s">
        <v>36</v>
      </c>
      <c r="L55">
        <f t="shared" si="3"/>
        <v>2025</v>
      </c>
      <c r="M55">
        <f t="shared" si="0"/>
        <v>10</v>
      </c>
      <c r="N55" t="str">
        <f t="shared" si="1"/>
        <v>Oct</v>
      </c>
      <c r="O55" t="str">
        <f t="shared" si="2"/>
        <v>2025-10</v>
      </c>
      <c r="P55" t="str">
        <f t="shared" si="4"/>
        <v>2025-W43</v>
      </c>
      <c r="Q55" t="str">
        <f t="shared" si="5"/>
        <v>Wed</v>
      </c>
    </row>
    <row r="56" spans="1:17" x14ac:dyDescent="0.3">
      <c r="A56" s="2">
        <v>45952</v>
      </c>
      <c r="B56" s="3" t="s">
        <v>101</v>
      </c>
      <c r="C56" s="3" t="s">
        <v>50</v>
      </c>
      <c r="D56" s="3" t="s">
        <v>19</v>
      </c>
      <c r="E56" s="3" t="s">
        <v>14</v>
      </c>
      <c r="F56" s="3" t="s">
        <v>15</v>
      </c>
      <c r="G56" s="3">
        <v>5</v>
      </c>
      <c r="H56" s="4">
        <v>252</v>
      </c>
      <c r="I56" s="4">
        <v>200</v>
      </c>
      <c r="J56" s="3" t="s">
        <v>22</v>
      </c>
      <c r="K56" s="3" t="s">
        <v>36</v>
      </c>
      <c r="L56">
        <f t="shared" si="3"/>
        <v>2025</v>
      </c>
      <c r="M56">
        <f t="shared" si="0"/>
        <v>10</v>
      </c>
      <c r="N56" t="str">
        <f t="shared" si="1"/>
        <v>Oct</v>
      </c>
      <c r="O56" t="str">
        <f t="shared" si="2"/>
        <v>2025-10</v>
      </c>
      <c r="P56" t="str">
        <f t="shared" si="4"/>
        <v>2025-W43</v>
      </c>
      <c r="Q56" t="str">
        <f t="shared" si="5"/>
        <v>Wed</v>
      </c>
    </row>
    <row r="57" spans="1:17" x14ac:dyDescent="0.3">
      <c r="A57" s="2">
        <v>45952</v>
      </c>
      <c r="B57" s="3" t="s">
        <v>102</v>
      </c>
      <c r="C57" s="3" t="s">
        <v>32</v>
      </c>
      <c r="D57" s="3" t="s">
        <v>53</v>
      </c>
      <c r="E57" s="3" t="s">
        <v>20</v>
      </c>
      <c r="F57" s="3" t="s">
        <v>21</v>
      </c>
      <c r="G57" s="3">
        <v>85</v>
      </c>
      <c r="H57" s="4">
        <v>3018</v>
      </c>
      <c r="I57" s="4">
        <v>3000</v>
      </c>
      <c r="J57" s="3" t="s">
        <v>22</v>
      </c>
      <c r="K57" s="3" t="s">
        <v>36</v>
      </c>
      <c r="L57">
        <f t="shared" si="3"/>
        <v>2025</v>
      </c>
      <c r="M57">
        <f t="shared" si="0"/>
        <v>10</v>
      </c>
      <c r="N57" t="str">
        <f t="shared" si="1"/>
        <v>Oct</v>
      </c>
      <c r="O57" t="str">
        <f t="shared" si="2"/>
        <v>2025-10</v>
      </c>
      <c r="P57" t="str">
        <f t="shared" si="4"/>
        <v>2025-W43</v>
      </c>
      <c r="Q57" t="str">
        <f t="shared" si="5"/>
        <v>Wed</v>
      </c>
    </row>
    <row r="58" spans="1:17" x14ac:dyDescent="0.3">
      <c r="A58" s="2">
        <v>45952</v>
      </c>
      <c r="B58" s="3" t="s">
        <v>103</v>
      </c>
      <c r="C58" s="3" t="s">
        <v>50</v>
      </c>
      <c r="D58" s="3" t="s">
        <v>26</v>
      </c>
      <c r="E58" s="3" t="s">
        <v>14</v>
      </c>
      <c r="F58" s="3" t="s">
        <v>15</v>
      </c>
      <c r="G58" s="3">
        <v>97</v>
      </c>
      <c r="H58" s="4">
        <v>5059</v>
      </c>
      <c r="I58" s="4">
        <v>4800</v>
      </c>
      <c r="J58" s="3" t="s">
        <v>16</v>
      </c>
      <c r="K58" s="3" t="s">
        <v>36</v>
      </c>
      <c r="L58">
        <f t="shared" si="3"/>
        <v>2025</v>
      </c>
      <c r="M58">
        <f t="shared" si="0"/>
        <v>10</v>
      </c>
      <c r="N58" t="str">
        <f t="shared" si="1"/>
        <v>Oct</v>
      </c>
      <c r="O58" t="str">
        <f t="shared" si="2"/>
        <v>2025-10</v>
      </c>
      <c r="P58" t="str">
        <f t="shared" si="4"/>
        <v>2025-W43</v>
      </c>
      <c r="Q58" t="str">
        <f t="shared" si="5"/>
        <v>Wed</v>
      </c>
    </row>
    <row r="59" spans="1:17" x14ac:dyDescent="0.3">
      <c r="A59" s="2">
        <v>45952</v>
      </c>
      <c r="B59" s="3" t="s">
        <v>104</v>
      </c>
      <c r="C59" s="3" t="s">
        <v>12</v>
      </c>
      <c r="D59" s="3" t="s">
        <v>19</v>
      </c>
      <c r="E59" s="3" t="s">
        <v>68</v>
      </c>
      <c r="F59" s="3" t="s">
        <v>34</v>
      </c>
      <c r="G59" s="3">
        <v>7</v>
      </c>
      <c r="H59" s="4">
        <v>432</v>
      </c>
      <c r="I59" s="4">
        <v>400</v>
      </c>
      <c r="J59" s="3" t="s">
        <v>22</v>
      </c>
      <c r="K59" s="3" t="s">
        <v>36</v>
      </c>
      <c r="L59">
        <f t="shared" si="3"/>
        <v>2025</v>
      </c>
      <c r="M59">
        <f t="shared" si="0"/>
        <v>10</v>
      </c>
      <c r="N59" t="str">
        <f t="shared" si="1"/>
        <v>Oct</v>
      </c>
      <c r="O59" t="str">
        <f t="shared" si="2"/>
        <v>2025-10</v>
      </c>
      <c r="P59" t="str">
        <f t="shared" si="4"/>
        <v>2025-W43</v>
      </c>
      <c r="Q59" t="str">
        <f t="shared" si="5"/>
        <v>Wed</v>
      </c>
    </row>
    <row r="60" spans="1:17" x14ac:dyDescent="0.3">
      <c r="A60" s="2">
        <v>45952</v>
      </c>
      <c r="B60" s="3" t="s">
        <v>105</v>
      </c>
      <c r="C60" s="3" t="s">
        <v>25</v>
      </c>
      <c r="D60" s="3" t="s">
        <v>26</v>
      </c>
      <c r="E60" s="3" t="s">
        <v>48</v>
      </c>
      <c r="F60" s="3" t="s">
        <v>15</v>
      </c>
      <c r="G60" s="3">
        <v>52</v>
      </c>
      <c r="H60" s="4">
        <v>2680</v>
      </c>
      <c r="I60" s="4">
        <v>2900</v>
      </c>
      <c r="J60" s="3" t="s">
        <v>22</v>
      </c>
      <c r="K60" s="3" t="s">
        <v>17</v>
      </c>
      <c r="L60">
        <f t="shared" si="3"/>
        <v>2025</v>
      </c>
      <c r="M60">
        <f t="shared" si="0"/>
        <v>10</v>
      </c>
      <c r="N60" t="str">
        <f t="shared" si="1"/>
        <v>Oct</v>
      </c>
      <c r="O60" t="str">
        <f t="shared" si="2"/>
        <v>2025-10</v>
      </c>
      <c r="P60" t="str">
        <f t="shared" si="4"/>
        <v>2025-W43</v>
      </c>
      <c r="Q60" t="str">
        <f t="shared" si="5"/>
        <v>Wed</v>
      </c>
    </row>
    <row r="61" spans="1:17" x14ac:dyDescent="0.3">
      <c r="A61" s="2">
        <v>45952</v>
      </c>
      <c r="B61" s="3" t="s">
        <v>106</v>
      </c>
      <c r="C61" s="3" t="s">
        <v>38</v>
      </c>
      <c r="D61" s="3" t="s">
        <v>26</v>
      </c>
      <c r="E61" s="3" t="s">
        <v>41</v>
      </c>
      <c r="F61" s="3" t="s">
        <v>21</v>
      </c>
      <c r="G61" s="3">
        <v>17</v>
      </c>
      <c r="H61" s="4">
        <v>675</v>
      </c>
      <c r="I61" s="4">
        <v>700</v>
      </c>
      <c r="J61" s="3" t="s">
        <v>39</v>
      </c>
      <c r="K61" s="3" t="s">
        <v>17</v>
      </c>
      <c r="L61">
        <f t="shared" si="3"/>
        <v>2025</v>
      </c>
      <c r="M61">
        <f t="shared" si="0"/>
        <v>10</v>
      </c>
      <c r="N61" t="str">
        <f t="shared" si="1"/>
        <v>Oct</v>
      </c>
      <c r="O61" t="str">
        <f t="shared" si="2"/>
        <v>2025-10</v>
      </c>
      <c r="P61" t="str">
        <f t="shared" si="4"/>
        <v>2025-W43</v>
      </c>
      <c r="Q61" t="str">
        <f t="shared" si="5"/>
        <v>Wed</v>
      </c>
    </row>
    <row r="62" spans="1:17" x14ac:dyDescent="0.3">
      <c r="A62" s="2">
        <v>45952</v>
      </c>
      <c r="B62" s="3" t="s">
        <v>107</v>
      </c>
      <c r="C62" s="3" t="s">
        <v>12</v>
      </c>
      <c r="D62" s="3" t="s">
        <v>47</v>
      </c>
      <c r="E62" s="3" t="s">
        <v>41</v>
      </c>
      <c r="F62" s="3" t="s">
        <v>21</v>
      </c>
      <c r="G62" s="3">
        <v>44</v>
      </c>
      <c r="H62" s="4">
        <v>1703</v>
      </c>
      <c r="I62" s="4">
        <v>1900</v>
      </c>
      <c r="J62" s="3" t="s">
        <v>22</v>
      </c>
      <c r="K62" s="3" t="s">
        <v>36</v>
      </c>
      <c r="L62">
        <f t="shared" si="3"/>
        <v>2025</v>
      </c>
      <c r="M62">
        <f t="shared" si="0"/>
        <v>10</v>
      </c>
      <c r="N62" t="str">
        <f t="shared" si="1"/>
        <v>Oct</v>
      </c>
      <c r="O62" t="str">
        <f t="shared" si="2"/>
        <v>2025-10</v>
      </c>
      <c r="P62" t="str">
        <f t="shared" si="4"/>
        <v>2025-W43</v>
      </c>
      <c r="Q62" t="str">
        <f t="shared" si="5"/>
        <v>Wed</v>
      </c>
    </row>
    <row r="63" spans="1:17" x14ac:dyDescent="0.3">
      <c r="A63" s="2">
        <v>45953</v>
      </c>
      <c r="B63" s="3" t="s">
        <v>108</v>
      </c>
      <c r="C63" s="3" t="s">
        <v>12</v>
      </c>
      <c r="D63" s="3" t="s">
        <v>26</v>
      </c>
      <c r="E63" s="3" t="s">
        <v>29</v>
      </c>
      <c r="F63" s="3" t="s">
        <v>21</v>
      </c>
      <c r="G63" s="3">
        <v>18</v>
      </c>
      <c r="H63" s="4">
        <v>553</v>
      </c>
      <c r="I63" s="4">
        <v>600</v>
      </c>
      <c r="J63" s="3" t="s">
        <v>22</v>
      </c>
      <c r="K63" s="3" t="s">
        <v>17</v>
      </c>
      <c r="L63">
        <f t="shared" si="3"/>
        <v>2025</v>
      </c>
      <c r="M63">
        <f t="shared" si="0"/>
        <v>10</v>
      </c>
      <c r="N63" t="str">
        <f t="shared" si="1"/>
        <v>Oct</v>
      </c>
      <c r="O63" t="str">
        <f t="shared" si="2"/>
        <v>2025-10</v>
      </c>
      <c r="P63" t="str">
        <f t="shared" si="4"/>
        <v>2025-W43</v>
      </c>
      <c r="Q63" t="str">
        <f t="shared" si="5"/>
        <v>Thu</v>
      </c>
    </row>
    <row r="64" spans="1:17" x14ac:dyDescent="0.3">
      <c r="A64" s="2">
        <v>45953</v>
      </c>
      <c r="B64" s="3" t="s">
        <v>109</v>
      </c>
      <c r="C64" s="3" t="s">
        <v>50</v>
      </c>
      <c r="D64" s="3" t="s">
        <v>13</v>
      </c>
      <c r="E64" s="3" t="s">
        <v>48</v>
      </c>
      <c r="F64" s="3" t="s">
        <v>15</v>
      </c>
      <c r="G64" s="3">
        <v>73</v>
      </c>
      <c r="H64" s="4">
        <v>4200</v>
      </c>
      <c r="I64" s="4">
        <v>3500</v>
      </c>
      <c r="J64" s="3" t="s">
        <v>22</v>
      </c>
      <c r="K64" s="3" t="s">
        <v>17</v>
      </c>
      <c r="L64">
        <f t="shared" si="3"/>
        <v>2025</v>
      </c>
      <c r="M64">
        <f t="shared" si="0"/>
        <v>10</v>
      </c>
      <c r="N64" t="str">
        <f t="shared" si="1"/>
        <v>Oct</v>
      </c>
      <c r="O64" t="str">
        <f t="shared" si="2"/>
        <v>2025-10</v>
      </c>
      <c r="P64" t="str">
        <f t="shared" si="4"/>
        <v>2025-W43</v>
      </c>
      <c r="Q64" t="str">
        <f t="shared" si="5"/>
        <v>Thu</v>
      </c>
    </row>
    <row r="65" spans="1:17" x14ac:dyDescent="0.3">
      <c r="A65" s="2">
        <v>45954</v>
      </c>
      <c r="B65" s="3" t="s">
        <v>110</v>
      </c>
      <c r="C65" s="3" t="s">
        <v>43</v>
      </c>
      <c r="D65" s="3" t="s">
        <v>19</v>
      </c>
      <c r="E65" s="3" t="s">
        <v>27</v>
      </c>
      <c r="F65" s="3" t="s">
        <v>15</v>
      </c>
      <c r="G65" s="3">
        <v>89</v>
      </c>
      <c r="H65" s="4">
        <v>4544</v>
      </c>
      <c r="I65" s="4">
        <v>4100</v>
      </c>
      <c r="J65" s="3" t="s">
        <v>16</v>
      </c>
      <c r="K65" s="3" t="s">
        <v>17</v>
      </c>
      <c r="L65">
        <f t="shared" si="3"/>
        <v>2025</v>
      </c>
      <c r="M65">
        <f t="shared" si="0"/>
        <v>10</v>
      </c>
      <c r="N65" t="str">
        <f t="shared" si="1"/>
        <v>Oct</v>
      </c>
      <c r="O65" t="str">
        <f t="shared" si="2"/>
        <v>2025-10</v>
      </c>
      <c r="P65" t="str">
        <f t="shared" si="4"/>
        <v>2025-W43</v>
      </c>
      <c r="Q65" t="str">
        <f t="shared" si="5"/>
        <v>Fri</v>
      </c>
    </row>
    <row r="66" spans="1:17" x14ac:dyDescent="0.3">
      <c r="A66" s="2">
        <v>45955</v>
      </c>
      <c r="B66" s="3" t="s">
        <v>111</v>
      </c>
      <c r="C66" s="3" t="s">
        <v>12</v>
      </c>
      <c r="D66" s="3" t="s">
        <v>19</v>
      </c>
      <c r="E66" s="3" t="s">
        <v>14</v>
      </c>
      <c r="F66" s="3" t="s">
        <v>15</v>
      </c>
      <c r="G66" s="3">
        <v>81</v>
      </c>
      <c r="H66" s="4">
        <v>3805</v>
      </c>
      <c r="I66" s="4">
        <v>4400</v>
      </c>
      <c r="J66" s="3" t="s">
        <v>22</v>
      </c>
      <c r="K66" s="3" t="s">
        <v>30</v>
      </c>
      <c r="L66">
        <f t="shared" si="3"/>
        <v>2025</v>
      </c>
      <c r="M66">
        <f t="shared" ref="M66:M129" si="6">MONTH($A66)</f>
        <v>10</v>
      </c>
      <c r="N66" t="str">
        <f t="shared" ref="N66:N129" si="7">TEXT($A66,"mmm")</f>
        <v>Oct</v>
      </c>
      <c r="O66" t="str">
        <f t="shared" ref="O66:O129" si="8">YEAR($A66)&amp;"-"&amp;TEXT(MONTH($A66),"00")</f>
        <v>2025-10</v>
      </c>
      <c r="P66" t="str">
        <f t="shared" si="4"/>
        <v>2025-W43</v>
      </c>
      <c r="Q66" t="str">
        <f t="shared" si="5"/>
        <v>Sat</v>
      </c>
    </row>
    <row r="67" spans="1:17" x14ac:dyDescent="0.3">
      <c r="A67" s="2">
        <v>45955</v>
      </c>
      <c r="B67" s="3" t="s">
        <v>112</v>
      </c>
      <c r="C67" s="3" t="s">
        <v>12</v>
      </c>
      <c r="D67" s="3" t="s">
        <v>26</v>
      </c>
      <c r="E67" s="3" t="s">
        <v>44</v>
      </c>
      <c r="F67" s="3" t="s">
        <v>34</v>
      </c>
      <c r="G67" s="3">
        <v>51</v>
      </c>
      <c r="H67" s="4">
        <v>3337</v>
      </c>
      <c r="I67" s="4">
        <v>4100</v>
      </c>
      <c r="J67" s="3" t="s">
        <v>22</v>
      </c>
      <c r="K67" s="3" t="s">
        <v>36</v>
      </c>
      <c r="L67">
        <f t="shared" ref="L67:L130" si="9">YEAR($A67)</f>
        <v>2025</v>
      </c>
      <c r="M67">
        <f t="shared" si="6"/>
        <v>10</v>
      </c>
      <c r="N67" t="str">
        <f t="shared" si="7"/>
        <v>Oct</v>
      </c>
      <c r="O67" t="str">
        <f t="shared" si="8"/>
        <v>2025-10</v>
      </c>
      <c r="P67" t="str">
        <f t="shared" ref="P67:P130" si="10">YEAR($A67)&amp;"-W"&amp;TEXT(WEEKNUM($A67,2),"00")</f>
        <v>2025-W43</v>
      </c>
      <c r="Q67" t="str">
        <f t="shared" ref="Q67:Q130" si="11">CHOOSE(WEEKDAY($A67,2),"Mon","Tue","Wed","Thu","Fri","Sat","Sun")</f>
        <v>Sat</v>
      </c>
    </row>
    <row r="68" spans="1:17" x14ac:dyDescent="0.3">
      <c r="A68" s="2">
        <v>45956</v>
      </c>
      <c r="B68" s="3" t="s">
        <v>113</v>
      </c>
      <c r="C68" s="3" t="s">
        <v>12</v>
      </c>
      <c r="D68" s="3" t="s">
        <v>26</v>
      </c>
      <c r="E68" s="3" t="s">
        <v>58</v>
      </c>
      <c r="F68" s="3" t="s">
        <v>59</v>
      </c>
      <c r="G68" s="3">
        <v>5</v>
      </c>
      <c r="H68" s="4">
        <v>430</v>
      </c>
      <c r="I68" s="4">
        <v>400</v>
      </c>
      <c r="J68" s="3" t="s">
        <v>39</v>
      </c>
      <c r="K68" s="3" t="s">
        <v>36</v>
      </c>
      <c r="L68">
        <f t="shared" si="9"/>
        <v>2025</v>
      </c>
      <c r="M68">
        <f t="shared" si="6"/>
        <v>10</v>
      </c>
      <c r="N68" t="str">
        <f t="shared" si="7"/>
        <v>Oct</v>
      </c>
      <c r="O68" t="str">
        <f t="shared" si="8"/>
        <v>2025-10</v>
      </c>
      <c r="P68" t="str">
        <f t="shared" si="10"/>
        <v>2025-W43</v>
      </c>
      <c r="Q68" t="str">
        <f t="shared" si="11"/>
        <v>Sun</v>
      </c>
    </row>
    <row r="69" spans="1:17" x14ac:dyDescent="0.3">
      <c r="A69" s="2">
        <v>45956</v>
      </c>
      <c r="B69" s="3" t="s">
        <v>114</v>
      </c>
      <c r="C69" s="3" t="s">
        <v>43</v>
      </c>
      <c r="D69" s="3" t="s">
        <v>53</v>
      </c>
      <c r="E69" s="3" t="s">
        <v>27</v>
      </c>
      <c r="F69" s="3" t="s">
        <v>15</v>
      </c>
      <c r="G69" s="3">
        <v>22</v>
      </c>
      <c r="H69" s="4">
        <v>1165</v>
      </c>
      <c r="I69" s="4">
        <v>1300</v>
      </c>
      <c r="J69" s="3" t="s">
        <v>22</v>
      </c>
      <c r="K69" s="3" t="s">
        <v>30</v>
      </c>
      <c r="L69">
        <f t="shared" si="9"/>
        <v>2025</v>
      </c>
      <c r="M69">
        <f t="shared" si="6"/>
        <v>10</v>
      </c>
      <c r="N69" t="str">
        <f t="shared" si="7"/>
        <v>Oct</v>
      </c>
      <c r="O69" t="str">
        <f t="shared" si="8"/>
        <v>2025-10</v>
      </c>
      <c r="P69" t="str">
        <f t="shared" si="10"/>
        <v>2025-W43</v>
      </c>
      <c r="Q69" t="str">
        <f t="shared" si="11"/>
        <v>Sun</v>
      </c>
    </row>
    <row r="70" spans="1:17" x14ac:dyDescent="0.3">
      <c r="A70" s="2">
        <v>45957</v>
      </c>
      <c r="B70" s="3" t="s">
        <v>115</v>
      </c>
      <c r="C70" s="3" t="s">
        <v>32</v>
      </c>
      <c r="D70" s="3" t="s">
        <v>19</v>
      </c>
      <c r="E70" s="3" t="s">
        <v>41</v>
      </c>
      <c r="F70" s="3" t="s">
        <v>21</v>
      </c>
      <c r="G70" s="3">
        <v>44</v>
      </c>
      <c r="H70" s="4">
        <v>1686</v>
      </c>
      <c r="I70" s="4">
        <v>2100</v>
      </c>
      <c r="J70" s="3" t="s">
        <v>39</v>
      </c>
      <c r="K70" s="3" t="s">
        <v>30</v>
      </c>
      <c r="L70">
        <f t="shared" si="9"/>
        <v>2025</v>
      </c>
      <c r="M70">
        <f t="shared" si="6"/>
        <v>10</v>
      </c>
      <c r="N70" t="str">
        <f t="shared" si="7"/>
        <v>Oct</v>
      </c>
      <c r="O70" t="str">
        <f t="shared" si="8"/>
        <v>2025-10</v>
      </c>
      <c r="P70" t="str">
        <f t="shared" si="10"/>
        <v>2025-W44</v>
      </c>
      <c r="Q70" t="str">
        <f t="shared" si="11"/>
        <v>Mon</v>
      </c>
    </row>
    <row r="71" spans="1:17" x14ac:dyDescent="0.3">
      <c r="A71" s="2">
        <v>45957</v>
      </c>
      <c r="B71" s="3" t="s">
        <v>116</v>
      </c>
      <c r="C71" s="3" t="s">
        <v>38</v>
      </c>
      <c r="D71" s="3" t="s">
        <v>26</v>
      </c>
      <c r="E71" s="3" t="s">
        <v>48</v>
      </c>
      <c r="F71" s="3" t="s">
        <v>15</v>
      </c>
      <c r="G71" s="3">
        <v>51</v>
      </c>
      <c r="H71" s="4">
        <v>2321</v>
      </c>
      <c r="I71" s="4">
        <v>2200</v>
      </c>
      <c r="J71" s="3" t="s">
        <v>39</v>
      </c>
      <c r="K71" s="3" t="s">
        <v>36</v>
      </c>
      <c r="L71">
        <f t="shared" si="9"/>
        <v>2025</v>
      </c>
      <c r="M71">
        <f t="shared" si="6"/>
        <v>10</v>
      </c>
      <c r="N71" t="str">
        <f t="shared" si="7"/>
        <v>Oct</v>
      </c>
      <c r="O71" t="str">
        <f t="shared" si="8"/>
        <v>2025-10</v>
      </c>
      <c r="P71" t="str">
        <f t="shared" si="10"/>
        <v>2025-W44</v>
      </c>
      <c r="Q71" t="str">
        <f t="shared" si="11"/>
        <v>Mon</v>
      </c>
    </row>
    <row r="72" spans="1:17" x14ac:dyDescent="0.3">
      <c r="A72" s="2">
        <v>45957</v>
      </c>
      <c r="B72" s="3" t="s">
        <v>117</v>
      </c>
      <c r="C72" s="3" t="s">
        <v>12</v>
      </c>
      <c r="D72" s="3" t="s">
        <v>19</v>
      </c>
      <c r="E72" s="3" t="s">
        <v>44</v>
      </c>
      <c r="F72" s="3" t="s">
        <v>34</v>
      </c>
      <c r="G72" s="3">
        <v>32</v>
      </c>
      <c r="H72" s="4">
        <v>1672</v>
      </c>
      <c r="I72" s="4">
        <v>1500</v>
      </c>
      <c r="J72" s="3" t="s">
        <v>22</v>
      </c>
      <c r="K72" s="3" t="s">
        <v>36</v>
      </c>
      <c r="L72">
        <f t="shared" si="9"/>
        <v>2025</v>
      </c>
      <c r="M72">
        <f t="shared" si="6"/>
        <v>10</v>
      </c>
      <c r="N72" t="str">
        <f t="shared" si="7"/>
        <v>Oct</v>
      </c>
      <c r="O72" t="str">
        <f t="shared" si="8"/>
        <v>2025-10</v>
      </c>
      <c r="P72" t="str">
        <f t="shared" si="10"/>
        <v>2025-W44</v>
      </c>
      <c r="Q72" t="str">
        <f t="shared" si="11"/>
        <v>Mon</v>
      </c>
    </row>
    <row r="73" spans="1:17" x14ac:dyDescent="0.3">
      <c r="A73" s="2">
        <v>45957</v>
      </c>
      <c r="B73" s="3" t="s">
        <v>118</v>
      </c>
      <c r="C73" s="3" t="s">
        <v>32</v>
      </c>
      <c r="D73" s="3" t="s">
        <v>53</v>
      </c>
      <c r="E73" s="3" t="s">
        <v>14</v>
      </c>
      <c r="F73" s="3" t="s">
        <v>15</v>
      </c>
      <c r="G73" s="3">
        <v>19</v>
      </c>
      <c r="H73" s="4">
        <v>791</v>
      </c>
      <c r="I73" s="4">
        <v>700</v>
      </c>
      <c r="J73" s="3" t="s">
        <v>22</v>
      </c>
      <c r="K73" s="3" t="s">
        <v>30</v>
      </c>
      <c r="L73">
        <f t="shared" si="9"/>
        <v>2025</v>
      </c>
      <c r="M73">
        <f t="shared" si="6"/>
        <v>10</v>
      </c>
      <c r="N73" t="str">
        <f t="shared" si="7"/>
        <v>Oct</v>
      </c>
      <c r="O73" t="str">
        <f t="shared" si="8"/>
        <v>2025-10</v>
      </c>
      <c r="P73" t="str">
        <f t="shared" si="10"/>
        <v>2025-W44</v>
      </c>
      <c r="Q73" t="str">
        <f t="shared" si="11"/>
        <v>Mon</v>
      </c>
    </row>
    <row r="74" spans="1:17" x14ac:dyDescent="0.3">
      <c r="A74" s="2">
        <v>45957</v>
      </c>
      <c r="B74" s="3" t="s">
        <v>119</v>
      </c>
      <c r="C74" s="3" t="s">
        <v>91</v>
      </c>
      <c r="D74" s="3" t="s">
        <v>26</v>
      </c>
      <c r="E74" s="3" t="s">
        <v>29</v>
      </c>
      <c r="F74" s="3" t="s">
        <v>21</v>
      </c>
      <c r="G74" s="3">
        <v>7</v>
      </c>
      <c r="H74" s="4">
        <v>227</v>
      </c>
      <c r="I74" s="4">
        <v>300</v>
      </c>
      <c r="J74" s="3" t="s">
        <v>22</v>
      </c>
      <c r="K74" s="3" t="s">
        <v>17</v>
      </c>
      <c r="L74">
        <f t="shared" si="9"/>
        <v>2025</v>
      </c>
      <c r="M74">
        <f t="shared" si="6"/>
        <v>10</v>
      </c>
      <c r="N74" t="str">
        <f t="shared" si="7"/>
        <v>Oct</v>
      </c>
      <c r="O74" t="str">
        <f t="shared" si="8"/>
        <v>2025-10</v>
      </c>
      <c r="P74" t="str">
        <f t="shared" si="10"/>
        <v>2025-W44</v>
      </c>
      <c r="Q74" t="str">
        <f t="shared" si="11"/>
        <v>Mon</v>
      </c>
    </row>
    <row r="75" spans="1:17" x14ac:dyDescent="0.3">
      <c r="A75" s="2">
        <v>45957</v>
      </c>
      <c r="B75" s="3" t="s">
        <v>120</v>
      </c>
      <c r="C75" s="3" t="s">
        <v>43</v>
      </c>
      <c r="D75" s="3" t="s">
        <v>53</v>
      </c>
      <c r="E75" s="3" t="s">
        <v>41</v>
      </c>
      <c r="F75" s="3" t="s">
        <v>21</v>
      </c>
      <c r="G75" s="3">
        <v>72</v>
      </c>
      <c r="H75" s="4">
        <v>2601</v>
      </c>
      <c r="I75" s="4">
        <v>2500</v>
      </c>
      <c r="J75" s="3" t="s">
        <v>22</v>
      </c>
      <c r="K75" s="3" t="s">
        <v>17</v>
      </c>
      <c r="L75">
        <f t="shared" si="9"/>
        <v>2025</v>
      </c>
      <c r="M75">
        <f t="shared" si="6"/>
        <v>10</v>
      </c>
      <c r="N75" t="str">
        <f t="shared" si="7"/>
        <v>Oct</v>
      </c>
      <c r="O75" t="str">
        <f t="shared" si="8"/>
        <v>2025-10</v>
      </c>
      <c r="P75" t="str">
        <f t="shared" si="10"/>
        <v>2025-W44</v>
      </c>
      <c r="Q75" t="str">
        <f t="shared" si="11"/>
        <v>Mon</v>
      </c>
    </row>
    <row r="76" spans="1:17" x14ac:dyDescent="0.3">
      <c r="A76" s="2">
        <v>45957</v>
      </c>
      <c r="B76" s="3" t="s">
        <v>121</v>
      </c>
      <c r="C76" s="3" t="s">
        <v>12</v>
      </c>
      <c r="D76" s="3" t="s">
        <v>26</v>
      </c>
      <c r="E76" s="3" t="s">
        <v>48</v>
      </c>
      <c r="F76" s="3" t="s">
        <v>15</v>
      </c>
      <c r="G76" s="3">
        <v>59</v>
      </c>
      <c r="H76" s="4">
        <v>3066</v>
      </c>
      <c r="I76" s="4">
        <v>2900</v>
      </c>
      <c r="J76" s="3" t="s">
        <v>22</v>
      </c>
      <c r="K76" s="3" t="s">
        <v>36</v>
      </c>
      <c r="L76">
        <f t="shared" si="9"/>
        <v>2025</v>
      </c>
      <c r="M76">
        <f t="shared" si="6"/>
        <v>10</v>
      </c>
      <c r="N76" t="str">
        <f t="shared" si="7"/>
        <v>Oct</v>
      </c>
      <c r="O76" t="str">
        <f t="shared" si="8"/>
        <v>2025-10</v>
      </c>
      <c r="P76" t="str">
        <f t="shared" si="10"/>
        <v>2025-W44</v>
      </c>
      <c r="Q76" t="str">
        <f t="shared" si="11"/>
        <v>Mon</v>
      </c>
    </row>
    <row r="77" spans="1:17" x14ac:dyDescent="0.3">
      <c r="A77" s="2">
        <v>45958</v>
      </c>
      <c r="B77" s="3" t="s">
        <v>122</v>
      </c>
      <c r="C77" s="3" t="s">
        <v>32</v>
      </c>
      <c r="D77" s="3" t="s">
        <v>47</v>
      </c>
      <c r="E77" s="3" t="s">
        <v>123</v>
      </c>
      <c r="F77" s="3" t="s">
        <v>59</v>
      </c>
      <c r="G77" s="3">
        <v>39</v>
      </c>
      <c r="H77" s="4">
        <v>3277</v>
      </c>
      <c r="I77" s="4">
        <v>3400</v>
      </c>
      <c r="J77" s="3" t="s">
        <v>22</v>
      </c>
      <c r="K77" s="3" t="s">
        <v>36</v>
      </c>
      <c r="L77">
        <f t="shared" si="9"/>
        <v>2025</v>
      </c>
      <c r="M77">
        <f t="shared" si="6"/>
        <v>10</v>
      </c>
      <c r="N77" t="str">
        <f t="shared" si="7"/>
        <v>Oct</v>
      </c>
      <c r="O77" t="str">
        <f t="shared" si="8"/>
        <v>2025-10</v>
      </c>
      <c r="P77" t="str">
        <f t="shared" si="10"/>
        <v>2025-W44</v>
      </c>
      <c r="Q77" t="str">
        <f t="shared" si="11"/>
        <v>Tue</v>
      </c>
    </row>
    <row r="78" spans="1:17" x14ac:dyDescent="0.3">
      <c r="A78" s="2">
        <v>45958</v>
      </c>
      <c r="B78" s="3" t="s">
        <v>124</v>
      </c>
      <c r="C78" s="3" t="s">
        <v>91</v>
      </c>
      <c r="D78" s="3" t="s">
        <v>26</v>
      </c>
      <c r="E78" s="3" t="s">
        <v>29</v>
      </c>
      <c r="F78" s="3" t="s">
        <v>21</v>
      </c>
      <c r="G78" s="3">
        <v>68</v>
      </c>
      <c r="H78" s="4">
        <v>2515</v>
      </c>
      <c r="I78" s="4">
        <v>2100</v>
      </c>
      <c r="J78" s="3" t="s">
        <v>22</v>
      </c>
      <c r="K78" s="3" t="s">
        <v>17</v>
      </c>
      <c r="L78">
        <f t="shared" si="9"/>
        <v>2025</v>
      </c>
      <c r="M78">
        <f t="shared" si="6"/>
        <v>10</v>
      </c>
      <c r="N78" t="str">
        <f t="shared" si="7"/>
        <v>Oct</v>
      </c>
      <c r="O78" t="str">
        <f t="shared" si="8"/>
        <v>2025-10</v>
      </c>
      <c r="P78" t="str">
        <f t="shared" si="10"/>
        <v>2025-W44</v>
      </c>
      <c r="Q78" t="str">
        <f t="shared" si="11"/>
        <v>Tue</v>
      </c>
    </row>
    <row r="79" spans="1:17" x14ac:dyDescent="0.3">
      <c r="A79" s="2">
        <v>45958</v>
      </c>
      <c r="B79" s="3" t="s">
        <v>125</v>
      </c>
      <c r="C79" s="3" t="s">
        <v>38</v>
      </c>
      <c r="D79" s="3" t="s">
        <v>47</v>
      </c>
      <c r="E79" s="3" t="s">
        <v>27</v>
      </c>
      <c r="F79" s="3" t="s">
        <v>15</v>
      </c>
      <c r="G79" s="3">
        <v>73</v>
      </c>
      <c r="H79" s="4">
        <v>4143</v>
      </c>
      <c r="I79" s="4">
        <v>3500</v>
      </c>
      <c r="J79" s="3" t="s">
        <v>22</v>
      </c>
      <c r="K79" s="3" t="s">
        <v>36</v>
      </c>
      <c r="L79">
        <f t="shared" si="9"/>
        <v>2025</v>
      </c>
      <c r="M79">
        <f t="shared" si="6"/>
        <v>10</v>
      </c>
      <c r="N79" t="str">
        <f t="shared" si="7"/>
        <v>Oct</v>
      </c>
      <c r="O79" t="str">
        <f t="shared" si="8"/>
        <v>2025-10</v>
      </c>
      <c r="P79" t="str">
        <f t="shared" si="10"/>
        <v>2025-W44</v>
      </c>
      <c r="Q79" t="str">
        <f t="shared" si="11"/>
        <v>Tue</v>
      </c>
    </row>
    <row r="80" spans="1:17" x14ac:dyDescent="0.3">
      <c r="A80" s="2">
        <v>45958</v>
      </c>
      <c r="B80" s="3" t="s">
        <v>126</v>
      </c>
      <c r="C80" s="3" t="s">
        <v>38</v>
      </c>
      <c r="D80" s="3" t="s">
        <v>26</v>
      </c>
      <c r="E80" s="3" t="s">
        <v>14</v>
      </c>
      <c r="F80" s="3" t="s">
        <v>15</v>
      </c>
      <c r="G80" s="3">
        <v>92</v>
      </c>
      <c r="H80" s="4">
        <v>4140</v>
      </c>
      <c r="I80" s="4">
        <v>3500</v>
      </c>
      <c r="J80" s="3" t="s">
        <v>22</v>
      </c>
      <c r="K80" s="3" t="s">
        <v>17</v>
      </c>
      <c r="L80">
        <f t="shared" si="9"/>
        <v>2025</v>
      </c>
      <c r="M80">
        <f t="shared" si="6"/>
        <v>10</v>
      </c>
      <c r="N80" t="str">
        <f t="shared" si="7"/>
        <v>Oct</v>
      </c>
      <c r="O80" t="str">
        <f t="shared" si="8"/>
        <v>2025-10</v>
      </c>
      <c r="P80" t="str">
        <f t="shared" si="10"/>
        <v>2025-W44</v>
      </c>
      <c r="Q80" t="str">
        <f t="shared" si="11"/>
        <v>Tue</v>
      </c>
    </row>
    <row r="81" spans="1:17" x14ac:dyDescent="0.3">
      <c r="A81" s="2">
        <v>45958</v>
      </c>
      <c r="B81" s="3" t="s">
        <v>127</v>
      </c>
      <c r="C81" s="3" t="s">
        <v>12</v>
      </c>
      <c r="D81" s="3" t="s">
        <v>53</v>
      </c>
      <c r="E81" s="3" t="s">
        <v>20</v>
      </c>
      <c r="F81" s="3" t="s">
        <v>21</v>
      </c>
      <c r="G81" s="3">
        <v>9</v>
      </c>
      <c r="H81" s="4">
        <v>365</v>
      </c>
      <c r="I81" s="4">
        <v>300</v>
      </c>
      <c r="J81" s="3" t="s">
        <v>22</v>
      </c>
      <c r="K81" s="3" t="s">
        <v>30</v>
      </c>
      <c r="L81">
        <f t="shared" si="9"/>
        <v>2025</v>
      </c>
      <c r="M81">
        <f t="shared" si="6"/>
        <v>10</v>
      </c>
      <c r="N81" t="str">
        <f t="shared" si="7"/>
        <v>Oct</v>
      </c>
      <c r="O81" t="str">
        <f t="shared" si="8"/>
        <v>2025-10</v>
      </c>
      <c r="P81" t="str">
        <f t="shared" si="10"/>
        <v>2025-W44</v>
      </c>
      <c r="Q81" t="str">
        <f t="shared" si="11"/>
        <v>Tue</v>
      </c>
    </row>
    <row r="82" spans="1:17" x14ac:dyDescent="0.3">
      <c r="A82" s="2">
        <v>45958</v>
      </c>
      <c r="B82" s="3" t="s">
        <v>128</v>
      </c>
      <c r="C82" s="3" t="s">
        <v>91</v>
      </c>
      <c r="D82" s="3" t="s">
        <v>26</v>
      </c>
      <c r="E82" s="3" t="s">
        <v>27</v>
      </c>
      <c r="F82" s="3" t="s">
        <v>15</v>
      </c>
      <c r="G82" s="3">
        <v>47</v>
      </c>
      <c r="H82" s="4">
        <v>2394</v>
      </c>
      <c r="I82" s="4">
        <v>2300</v>
      </c>
      <c r="J82" s="3" t="s">
        <v>22</v>
      </c>
      <c r="K82" s="3" t="s">
        <v>17</v>
      </c>
      <c r="L82">
        <f t="shared" si="9"/>
        <v>2025</v>
      </c>
      <c r="M82">
        <f t="shared" si="6"/>
        <v>10</v>
      </c>
      <c r="N82" t="str">
        <f t="shared" si="7"/>
        <v>Oct</v>
      </c>
      <c r="O82" t="str">
        <f t="shared" si="8"/>
        <v>2025-10</v>
      </c>
      <c r="P82" t="str">
        <f t="shared" si="10"/>
        <v>2025-W44</v>
      </c>
      <c r="Q82" t="str">
        <f t="shared" si="11"/>
        <v>Tue</v>
      </c>
    </row>
    <row r="83" spans="1:17" x14ac:dyDescent="0.3">
      <c r="A83" s="2">
        <v>45959</v>
      </c>
      <c r="B83" s="3" t="s">
        <v>129</v>
      </c>
      <c r="C83" s="3" t="s">
        <v>12</v>
      </c>
      <c r="D83" s="3" t="s">
        <v>47</v>
      </c>
      <c r="E83" s="3" t="s">
        <v>20</v>
      </c>
      <c r="F83" s="3" t="s">
        <v>21</v>
      </c>
      <c r="G83" s="3">
        <v>29</v>
      </c>
      <c r="H83" s="4">
        <v>1199</v>
      </c>
      <c r="I83" s="4">
        <v>1100</v>
      </c>
      <c r="J83" s="3" t="s">
        <v>22</v>
      </c>
      <c r="K83" s="3" t="s">
        <v>17</v>
      </c>
      <c r="L83">
        <f t="shared" si="9"/>
        <v>2025</v>
      </c>
      <c r="M83">
        <f t="shared" si="6"/>
        <v>10</v>
      </c>
      <c r="N83" t="str">
        <f t="shared" si="7"/>
        <v>Oct</v>
      </c>
      <c r="O83" t="str">
        <f t="shared" si="8"/>
        <v>2025-10</v>
      </c>
      <c r="P83" t="str">
        <f t="shared" si="10"/>
        <v>2025-W44</v>
      </c>
      <c r="Q83" t="str">
        <f t="shared" si="11"/>
        <v>Wed</v>
      </c>
    </row>
    <row r="84" spans="1:17" x14ac:dyDescent="0.3">
      <c r="A84" s="2">
        <v>45959</v>
      </c>
      <c r="B84" s="3" t="s">
        <v>130</v>
      </c>
      <c r="C84" s="3" t="s">
        <v>91</v>
      </c>
      <c r="D84" s="3" t="s">
        <v>26</v>
      </c>
      <c r="E84" s="3" t="s">
        <v>123</v>
      </c>
      <c r="F84" s="3" t="s">
        <v>59</v>
      </c>
      <c r="G84" s="3">
        <v>22</v>
      </c>
      <c r="H84" s="4">
        <v>2165</v>
      </c>
      <c r="I84" s="4">
        <v>2500</v>
      </c>
      <c r="J84" s="3" t="s">
        <v>16</v>
      </c>
      <c r="K84" s="3" t="s">
        <v>23</v>
      </c>
      <c r="L84">
        <f t="shared" si="9"/>
        <v>2025</v>
      </c>
      <c r="M84">
        <f t="shared" si="6"/>
        <v>10</v>
      </c>
      <c r="N84" t="str">
        <f t="shared" si="7"/>
        <v>Oct</v>
      </c>
      <c r="O84" t="str">
        <f t="shared" si="8"/>
        <v>2025-10</v>
      </c>
      <c r="P84" t="str">
        <f t="shared" si="10"/>
        <v>2025-W44</v>
      </c>
      <c r="Q84" t="str">
        <f t="shared" si="11"/>
        <v>Wed</v>
      </c>
    </row>
    <row r="85" spans="1:17" x14ac:dyDescent="0.3">
      <c r="A85" s="2">
        <v>45959</v>
      </c>
      <c r="B85" s="3" t="s">
        <v>131</v>
      </c>
      <c r="C85" s="3" t="s">
        <v>12</v>
      </c>
      <c r="D85" s="3" t="s">
        <v>65</v>
      </c>
      <c r="E85" s="3" t="s">
        <v>20</v>
      </c>
      <c r="F85" s="3" t="s">
        <v>21</v>
      </c>
      <c r="G85" s="3">
        <v>11</v>
      </c>
      <c r="H85" s="4">
        <v>331</v>
      </c>
      <c r="I85" s="4">
        <v>400</v>
      </c>
      <c r="J85" s="3" t="s">
        <v>39</v>
      </c>
      <c r="K85" s="3" t="s">
        <v>23</v>
      </c>
      <c r="L85">
        <f t="shared" si="9"/>
        <v>2025</v>
      </c>
      <c r="M85">
        <f t="shared" si="6"/>
        <v>10</v>
      </c>
      <c r="N85" t="str">
        <f t="shared" si="7"/>
        <v>Oct</v>
      </c>
      <c r="O85" t="str">
        <f t="shared" si="8"/>
        <v>2025-10</v>
      </c>
      <c r="P85" t="str">
        <f t="shared" si="10"/>
        <v>2025-W44</v>
      </c>
      <c r="Q85" t="str">
        <f t="shared" si="11"/>
        <v>Wed</v>
      </c>
    </row>
    <row r="86" spans="1:17" x14ac:dyDescent="0.3">
      <c r="A86" s="2">
        <v>45960</v>
      </c>
      <c r="B86" s="3" t="s">
        <v>132</v>
      </c>
      <c r="C86" s="3" t="s">
        <v>43</v>
      </c>
      <c r="D86" s="3" t="s">
        <v>13</v>
      </c>
      <c r="E86" s="3" t="s">
        <v>48</v>
      </c>
      <c r="F86" s="3" t="s">
        <v>15</v>
      </c>
      <c r="G86" s="3">
        <v>75</v>
      </c>
      <c r="H86" s="4">
        <v>4231</v>
      </c>
      <c r="I86" s="4">
        <v>4900</v>
      </c>
      <c r="J86" s="3" t="s">
        <v>16</v>
      </c>
      <c r="K86" s="3" t="s">
        <v>36</v>
      </c>
      <c r="L86">
        <f t="shared" si="9"/>
        <v>2025</v>
      </c>
      <c r="M86">
        <f t="shared" si="6"/>
        <v>10</v>
      </c>
      <c r="N86" t="str">
        <f t="shared" si="7"/>
        <v>Oct</v>
      </c>
      <c r="O86" t="str">
        <f t="shared" si="8"/>
        <v>2025-10</v>
      </c>
      <c r="P86" t="str">
        <f t="shared" si="10"/>
        <v>2025-W44</v>
      </c>
      <c r="Q86" t="str">
        <f t="shared" si="11"/>
        <v>Thu</v>
      </c>
    </row>
    <row r="87" spans="1:17" x14ac:dyDescent="0.3">
      <c r="A87" s="2">
        <v>45960</v>
      </c>
      <c r="B87" s="3" t="s">
        <v>133</v>
      </c>
      <c r="C87" s="3" t="s">
        <v>32</v>
      </c>
      <c r="D87" s="3" t="s">
        <v>53</v>
      </c>
      <c r="E87" s="3" t="s">
        <v>14</v>
      </c>
      <c r="F87" s="3" t="s">
        <v>15</v>
      </c>
      <c r="G87" s="3">
        <v>61</v>
      </c>
      <c r="H87" s="4">
        <v>2674</v>
      </c>
      <c r="I87" s="4">
        <v>2200</v>
      </c>
      <c r="J87" s="3" t="s">
        <v>22</v>
      </c>
      <c r="K87" s="3" t="s">
        <v>30</v>
      </c>
      <c r="L87">
        <f t="shared" si="9"/>
        <v>2025</v>
      </c>
      <c r="M87">
        <f t="shared" si="6"/>
        <v>10</v>
      </c>
      <c r="N87" t="str">
        <f t="shared" si="7"/>
        <v>Oct</v>
      </c>
      <c r="O87" t="str">
        <f t="shared" si="8"/>
        <v>2025-10</v>
      </c>
      <c r="P87" t="str">
        <f t="shared" si="10"/>
        <v>2025-W44</v>
      </c>
      <c r="Q87" t="str">
        <f t="shared" si="11"/>
        <v>Thu</v>
      </c>
    </row>
    <row r="88" spans="1:17" x14ac:dyDescent="0.3">
      <c r="A88" s="2">
        <v>45961</v>
      </c>
      <c r="B88" s="3" t="s">
        <v>134</v>
      </c>
      <c r="C88" s="3" t="s">
        <v>57</v>
      </c>
      <c r="D88" s="3" t="s">
        <v>65</v>
      </c>
      <c r="E88" s="3" t="s">
        <v>58</v>
      </c>
      <c r="F88" s="3" t="s">
        <v>59</v>
      </c>
      <c r="G88" s="3">
        <v>24</v>
      </c>
      <c r="H88" s="4">
        <v>2462</v>
      </c>
      <c r="I88" s="4">
        <v>2200</v>
      </c>
      <c r="J88" s="3" t="s">
        <v>22</v>
      </c>
      <c r="K88" s="3" t="s">
        <v>17</v>
      </c>
      <c r="L88">
        <f t="shared" si="9"/>
        <v>2025</v>
      </c>
      <c r="M88">
        <f t="shared" si="6"/>
        <v>10</v>
      </c>
      <c r="N88" t="str">
        <f t="shared" si="7"/>
        <v>Oct</v>
      </c>
      <c r="O88" t="str">
        <f t="shared" si="8"/>
        <v>2025-10</v>
      </c>
      <c r="P88" t="str">
        <f t="shared" si="10"/>
        <v>2025-W44</v>
      </c>
      <c r="Q88" t="str">
        <f t="shared" si="11"/>
        <v>Fri</v>
      </c>
    </row>
    <row r="89" spans="1:17" x14ac:dyDescent="0.3">
      <c r="A89" s="2">
        <v>45961</v>
      </c>
      <c r="B89" s="3" t="s">
        <v>135</v>
      </c>
      <c r="C89" s="3" t="s">
        <v>43</v>
      </c>
      <c r="D89" s="3" t="s">
        <v>65</v>
      </c>
      <c r="E89" s="3" t="s">
        <v>61</v>
      </c>
      <c r="F89" s="3" t="s">
        <v>59</v>
      </c>
      <c r="G89" s="3">
        <v>82</v>
      </c>
      <c r="H89" s="4">
        <v>8213</v>
      </c>
      <c r="I89" s="4">
        <v>8400</v>
      </c>
      <c r="J89" s="3" t="s">
        <v>22</v>
      </c>
      <c r="K89" s="3" t="s">
        <v>30</v>
      </c>
      <c r="L89">
        <f t="shared" si="9"/>
        <v>2025</v>
      </c>
      <c r="M89">
        <f t="shared" si="6"/>
        <v>10</v>
      </c>
      <c r="N89" t="str">
        <f t="shared" si="7"/>
        <v>Oct</v>
      </c>
      <c r="O89" t="str">
        <f t="shared" si="8"/>
        <v>2025-10</v>
      </c>
      <c r="P89" t="str">
        <f t="shared" si="10"/>
        <v>2025-W44</v>
      </c>
      <c r="Q89" t="str">
        <f t="shared" si="11"/>
        <v>Fri</v>
      </c>
    </row>
    <row r="90" spans="1:17" x14ac:dyDescent="0.3">
      <c r="A90" s="2">
        <v>45961</v>
      </c>
      <c r="B90" s="3" t="s">
        <v>136</v>
      </c>
      <c r="C90" s="3" t="s">
        <v>38</v>
      </c>
      <c r="D90" s="3" t="s">
        <v>53</v>
      </c>
      <c r="E90" s="3" t="s">
        <v>48</v>
      </c>
      <c r="F90" s="3" t="s">
        <v>15</v>
      </c>
      <c r="G90" s="3">
        <v>111</v>
      </c>
      <c r="H90" s="4">
        <v>6062</v>
      </c>
      <c r="I90" s="4">
        <v>6900</v>
      </c>
      <c r="J90" s="3" t="s">
        <v>22</v>
      </c>
      <c r="K90" s="3" t="s">
        <v>30</v>
      </c>
      <c r="L90">
        <f t="shared" si="9"/>
        <v>2025</v>
      </c>
      <c r="M90">
        <f t="shared" si="6"/>
        <v>10</v>
      </c>
      <c r="N90" t="str">
        <f t="shared" si="7"/>
        <v>Oct</v>
      </c>
      <c r="O90" t="str">
        <f t="shared" si="8"/>
        <v>2025-10</v>
      </c>
      <c r="P90" t="str">
        <f t="shared" si="10"/>
        <v>2025-W44</v>
      </c>
      <c r="Q90" t="str">
        <f t="shared" si="11"/>
        <v>Fri</v>
      </c>
    </row>
    <row r="91" spans="1:17" x14ac:dyDescent="0.3">
      <c r="A91" s="2">
        <v>45961</v>
      </c>
      <c r="B91" s="3" t="s">
        <v>137</v>
      </c>
      <c r="C91" s="3" t="s">
        <v>32</v>
      </c>
      <c r="D91" s="3" t="s">
        <v>26</v>
      </c>
      <c r="E91" s="3" t="s">
        <v>48</v>
      </c>
      <c r="F91" s="3" t="s">
        <v>15</v>
      </c>
      <c r="G91" s="3">
        <v>84</v>
      </c>
      <c r="H91" s="4">
        <v>4443</v>
      </c>
      <c r="I91" s="4">
        <v>4100</v>
      </c>
      <c r="J91" s="3" t="s">
        <v>22</v>
      </c>
      <c r="K91" s="3" t="s">
        <v>23</v>
      </c>
      <c r="L91">
        <f t="shared" si="9"/>
        <v>2025</v>
      </c>
      <c r="M91">
        <f t="shared" si="6"/>
        <v>10</v>
      </c>
      <c r="N91" t="str">
        <f t="shared" si="7"/>
        <v>Oct</v>
      </c>
      <c r="O91" t="str">
        <f t="shared" si="8"/>
        <v>2025-10</v>
      </c>
      <c r="P91" t="str">
        <f t="shared" si="10"/>
        <v>2025-W44</v>
      </c>
      <c r="Q91" t="str">
        <f t="shared" si="11"/>
        <v>Fri</v>
      </c>
    </row>
    <row r="92" spans="1:17" x14ac:dyDescent="0.3">
      <c r="A92" s="2">
        <v>45961</v>
      </c>
      <c r="B92" s="3" t="s">
        <v>138</v>
      </c>
      <c r="C92" s="3" t="s">
        <v>12</v>
      </c>
      <c r="D92" s="3" t="s">
        <v>47</v>
      </c>
      <c r="E92" s="3" t="s">
        <v>27</v>
      </c>
      <c r="F92" s="3" t="s">
        <v>15</v>
      </c>
      <c r="G92" s="3">
        <v>51</v>
      </c>
      <c r="H92" s="4">
        <v>2859</v>
      </c>
      <c r="I92" s="4">
        <v>2800</v>
      </c>
      <c r="J92" s="3" t="s">
        <v>22</v>
      </c>
      <c r="K92" s="3" t="s">
        <v>17</v>
      </c>
      <c r="L92">
        <f t="shared" si="9"/>
        <v>2025</v>
      </c>
      <c r="M92">
        <f t="shared" si="6"/>
        <v>10</v>
      </c>
      <c r="N92" t="str">
        <f t="shared" si="7"/>
        <v>Oct</v>
      </c>
      <c r="O92" t="str">
        <f t="shared" si="8"/>
        <v>2025-10</v>
      </c>
      <c r="P92" t="str">
        <f t="shared" si="10"/>
        <v>2025-W44</v>
      </c>
      <c r="Q92" t="str">
        <f t="shared" si="11"/>
        <v>Fri</v>
      </c>
    </row>
    <row r="93" spans="1:17" x14ac:dyDescent="0.3">
      <c r="A93" s="2">
        <v>45962</v>
      </c>
      <c r="B93" s="3" t="s">
        <v>139</v>
      </c>
      <c r="C93" s="3" t="s">
        <v>91</v>
      </c>
      <c r="D93" s="3" t="s">
        <v>26</v>
      </c>
      <c r="E93" s="3" t="s">
        <v>44</v>
      </c>
      <c r="F93" s="3" t="s">
        <v>34</v>
      </c>
      <c r="G93" s="3">
        <v>9</v>
      </c>
      <c r="H93" s="4">
        <v>483</v>
      </c>
      <c r="I93" s="4">
        <v>500</v>
      </c>
      <c r="J93" s="3" t="s">
        <v>22</v>
      </c>
      <c r="K93" s="3" t="s">
        <v>23</v>
      </c>
      <c r="L93">
        <f t="shared" si="9"/>
        <v>2025</v>
      </c>
      <c r="M93">
        <f t="shared" si="6"/>
        <v>11</v>
      </c>
      <c r="N93" t="str">
        <f t="shared" si="7"/>
        <v>Nov</v>
      </c>
      <c r="O93" t="str">
        <f t="shared" si="8"/>
        <v>2025-11</v>
      </c>
      <c r="P93" t="str">
        <f t="shared" si="10"/>
        <v>2025-W44</v>
      </c>
      <c r="Q93" t="str">
        <f t="shared" si="11"/>
        <v>Sat</v>
      </c>
    </row>
    <row r="94" spans="1:17" x14ac:dyDescent="0.3">
      <c r="A94" s="2">
        <v>45962</v>
      </c>
      <c r="B94" s="3" t="s">
        <v>140</v>
      </c>
      <c r="C94" s="3" t="s">
        <v>43</v>
      </c>
      <c r="D94" s="3" t="s">
        <v>26</v>
      </c>
      <c r="E94" s="3" t="s">
        <v>41</v>
      </c>
      <c r="F94" s="3" t="s">
        <v>21</v>
      </c>
      <c r="G94" s="3">
        <v>15</v>
      </c>
      <c r="H94" s="4">
        <v>539</v>
      </c>
      <c r="I94" s="4">
        <v>600</v>
      </c>
      <c r="J94" s="3" t="s">
        <v>22</v>
      </c>
      <c r="K94" s="3" t="s">
        <v>30</v>
      </c>
      <c r="L94">
        <f t="shared" si="9"/>
        <v>2025</v>
      </c>
      <c r="M94">
        <f t="shared" si="6"/>
        <v>11</v>
      </c>
      <c r="N94" t="str">
        <f t="shared" si="7"/>
        <v>Nov</v>
      </c>
      <c r="O94" t="str">
        <f t="shared" si="8"/>
        <v>2025-11</v>
      </c>
      <c r="P94" t="str">
        <f t="shared" si="10"/>
        <v>2025-W44</v>
      </c>
      <c r="Q94" t="str">
        <f t="shared" si="11"/>
        <v>Sat</v>
      </c>
    </row>
    <row r="95" spans="1:17" x14ac:dyDescent="0.3">
      <c r="A95" s="2">
        <v>45963</v>
      </c>
      <c r="B95" s="3" t="s">
        <v>141</v>
      </c>
      <c r="C95" s="3" t="s">
        <v>38</v>
      </c>
      <c r="D95" s="3" t="s">
        <v>65</v>
      </c>
      <c r="E95" s="3" t="s">
        <v>68</v>
      </c>
      <c r="F95" s="3" t="s">
        <v>34</v>
      </c>
      <c r="G95" s="3">
        <v>28</v>
      </c>
      <c r="H95" s="4">
        <v>1566</v>
      </c>
      <c r="I95" s="4">
        <v>1700</v>
      </c>
      <c r="J95" s="3" t="s">
        <v>22</v>
      </c>
      <c r="K95" s="3" t="s">
        <v>36</v>
      </c>
      <c r="L95">
        <f t="shared" si="9"/>
        <v>2025</v>
      </c>
      <c r="M95">
        <f t="shared" si="6"/>
        <v>11</v>
      </c>
      <c r="N95" t="str">
        <f t="shared" si="7"/>
        <v>Nov</v>
      </c>
      <c r="O95" t="str">
        <f t="shared" si="8"/>
        <v>2025-11</v>
      </c>
      <c r="P95" t="str">
        <f t="shared" si="10"/>
        <v>2025-W44</v>
      </c>
      <c r="Q95" t="str">
        <f t="shared" si="11"/>
        <v>Sun</v>
      </c>
    </row>
    <row r="96" spans="1:17" x14ac:dyDescent="0.3">
      <c r="A96" s="2">
        <v>45963</v>
      </c>
      <c r="B96" s="3" t="s">
        <v>142</v>
      </c>
      <c r="C96" s="3" t="s">
        <v>57</v>
      </c>
      <c r="D96" s="3" t="s">
        <v>26</v>
      </c>
      <c r="E96" s="3" t="s">
        <v>58</v>
      </c>
      <c r="F96" s="3" t="s">
        <v>59</v>
      </c>
      <c r="G96" s="3">
        <v>95</v>
      </c>
      <c r="H96" s="4">
        <v>8313</v>
      </c>
      <c r="I96" s="4">
        <v>8400</v>
      </c>
      <c r="J96" s="3" t="s">
        <v>22</v>
      </c>
      <c r="K96" s="3" t="s">
        <v>36</v>
      </c>
      <c r="L96">
        <f t="shared" si="9"/>
        <v>2025</v>
      </c>
      <c r="M96">
        <f t="shared" si="6"/>
        <v>11</v>
      </c>
      <c r="N96" t="str">
        <f t="shared" si="7"/>
        <v>Nov</v>
      </c>
      <c r="O96" t="str">
        <f t="shared" si="8"/>
        <v>2025-11</v>
      </c>
      <c r="P96" t="str">
        <f t="shared" si="10"/>
        <v>2025-W44</v>
      </c>
      <c r="Q96" t="str">
        <f t="shared" si="11"/>
        <v>Sun</v>
      </c>
    </row>
    <row r="97" spans="1:17" x14ac:dyDescent="0.3">
      <c r="A97" s="2">
        <v>45964</v>
      </c>
      <c r="B97" s="3" t="s">
        <v>143</v>
      </c>
      <c r="C97" s="3" t="s">
        <v>32</v>
      </c>
      <c r="D97" s="3" t="s">
        <v>53</v>
      </c>
      <c r="E97" s="3" t="s">
        <v>41</v>
      </c>
      <c r="F97" s="3" t="s">
        <v>21</v>
      </c>
      <c r="G97" s="3">
        <v>32</v>
      </c>
      <c r="H97" s="4">
        <v>1188</v>
      </c>
      <c r="I97" s="4">
        <v>1000</v>
      </c>
      <c r="J97" s="3" t="s">
        <v>22</v>
      </c>
      <c r="K97" s="3" t="s">
        <v>36</v>
      </c>
      <c r="L97">
        <f t="shared" si="9"/>
        <v>2025</v>
      </c>
      <c r="M97">
        <f t="shared" si="6"/>
        <v>11</v>
      </c>
      <c r="N97" t="str">
        <f t="shared" si="7"/>
        <v>Nov</v>
      </c>
      <c r="O97" t="str">
        <f t="shared" si="8"/>
        <v>2025-11</v>
      </c>
      <c r="P97" t="str">
        <f t="shared" si="10"/>
        <v>2025-W45</v>
      </c>
      <c r="Q97" t="str">
        <f t="shared" si="11"/>
        <v>Mon</v>
      </c>
    </row>
    <row r="98" spans="1:17" x14ac:dyDescent="0.3">
      <c r="A98" s="2">
        <v>45964</v>
      </c>
      <c r="B98" s="3" t="s">
        <v>144</v>
      </c>
      <c r="C98" s="3" t="s">
        <v>12</v>
      </c>
      <c r="D98" s="3" t="s">
        <v>26</v>
      </c>
      <c r="E98" s="3" t="s">
        <v>33</v>
      </c>
      <c r="F98" s="3" t="s">
        <v>34</v>
      </c>
      <c r="G98" s="3">
        <v>63</v>
      </c>
      <c r="H98" s="4">
        <v>3070</v>
      </c>
      <c r="I98" s="4">
        <v>2800</v>
      </c>
      <c r="J98" s="3" t="s">
        <v>22</v>
      </c>
      <c r="K98" s="3" t="s">
        <v>30</v>
      </c>
      <c r="L98">
        <f t="shared" si="9"/>
        <v>2025</v>
      </c>
      <c r="M98">
        <f t="shared" si="6"/>
        <v>11</v>
      </c>
      <c r="N98" t="str">
        <f t="shared" si="7"/>
        <v>Nov</v>
      </c>
      <c r="O98" t="str">
        <f t="shared" si="8"/>
        <v>2025-11</v>
      </c>
      <c r="P98" t="str">
        <f t="shared" si="10"/>
        <v>2025-W45</v>
      </c>
      <c r="Q98" t="str">
        <f t="shared" si="11"/>
        <v>Mon</v>
      </c>
    </row>
    <row r="99" spans="1:17" x14ac:dyDescent="0.3">
      <c r="A99" s="2">
        <v>45964</v>
      </c>
      <c r="B99" s="3" t="s">
        <v>145</v>
      </c>
      <c r="C99" s="3" t="s">
        <v>91</v>
      </c>
      <c r="D99" s="3" t="s">
        <v>19</v>
      </c>
      <c r="E99" s="3" t="s">
        <v>41</v>
      </c>
      <c r="F99" s="3" t="s">
        <v>21</v>
      </c>
      <c r="G99" s="3">
        <v>7</v>
      </c>
      <c r="H99" s="4">
        <v>268</v>
      </c>
      <c r="I99" s="4">
        <v>200</v>
      </c>
      <c r="J99" s="3" t="s">
        <v>22</v>
      </c>
      <c r="K99" s="3" t="s">
        <v>36</v>
      </c>
      <c r="L99">
        <f t="shared" si="9"/>
        <v>2025</v>
      </c>
      <c r="M99">
        <f t="shared" si="6"/>
        <v>11</v>
      </c>
      <c r="N99" t="str">
        <f t="shared" si="7"/>
        <v>Nov</v>
      </c>
      <c r="O99" t="str">
        <f t="shared" si="8"/>
        <v>2025-11</v>
      </c>
      <c r="P99" t="str">
        <f t="shared" si="10"/>
        <v>2025-W45</v>
      </c>
      <c r="Q99" t="str">
        <f t="shared" si="11"/>
        <v>Mon</v>
      </c>
    </row>
    <row r="100" spans="1:17" x14ac:dyDescent="0.3">
      <c r="A100" s="2">
        <v>45964</v>
      </c>
      <c r="B100" s="3" t="s">
        <v>146</v>
      </c>
      <c r="C100" s="3" t="s">
        <v>38</v>
      </c>
      <c r="D100" s="3" t="s">
        <v>47</v>
      </c>
      <c r="E100" s="3" t="s">
        <v>14</v>
      </c>
      <c r="F100" s="3" t="s">
        <v>15</v>
      </c>
      <c r="G100" s="3">
        <v>91</v>
      </c>
      <c r="H100" s="4">
        <v>4579</v>
      </c>
      <c r="I100" s="4">
        <v>3800</v>
      </c>
      <c r="J100" s="3" t="s">
        <v>16</v>
      </c>
      <c r="K100" s="3" t="s">
        <v>17</v>
      </c>
      <c r="L100">
        <f t="shared" si="9"/>
        <v>2025</v>
      </c>
      <c r="M100">
        <f t="shared" si="6"/>
        <v>11</v>
      </c>
      <c r="N100" t="str">
        <f t="shared" si="7"/>
        <v>Nov</v>
      </c>
      <c r="O100" t="str">
        <f t="shared" si="8"/>
        <v>2025-11</v>
      </c>
      <c r="P100" t="str">
        <f t="shared" si="10"/>
        <v>2025-W45</v>
      </c>
      <c r="Q100" t="str">
        <f t="shared" si="11"/>
        <v>Mon</v>
      </c>
    </row>
    <row r="101" spans="1:17" x14ac:dyDescent="0.3">
      <c r="A101" s="2">
        <v>45964</v>
      </c>
      <c r="B101" s="3" t="s">
        <v>147</v>
      </c>
      <c r="C101" s="3" t="s">
        <v>43</v>
      </c>
      <c r="D101" s="3" t="s">
        <v>53</v>
      </c>
      <c r="E101" s="3" t="s">
        <v>14</v>
      </c>
      <c r="F101" s="3" t="s">
        <v>15</v>
      </c>
      <c r="G101" s="3">
        <v>10</v>
      </c>
      <c r="H101" s="4">
        <v>462</v>
      </c>
      <c r="I101" s="4">
        <v>500</v>
      </c>
      <c r="J101" s="3" t="s">
        <v>22</v>
      </c>
      <c r="K101" s="3" t="s">
        <v>30</v>
      </c>
      <c r="L101">
        <f t="shared" si="9"/>
        <v>2025</v>
      </c>
      <c r="M101">
        <f t="shared" si="6"/>
        <v>11</v>
      </c>
      <c r="N101" t="str">
        <f t="shared" si="7"/>
        <v>Nov</v>
      </c>
      <c r="O101" t="str">
        <f t="shared" si="8"/>
        <v>2025-11</v>
      </c>
      <c r="P101" t="str">
        <f t="shared" si="10"/>
        <v>2025-W45</v>
      </c>
      <c r="Q101" t="str">
        <f t="shared" si="11"/>
        <v>Mon</v>
      </c>
    </row>
    <row r="102" spans="1:17" x14ac:dyDescent="0.3">
      <c r="A102" s="2">
        <v>45965</v>
      </c>
      <c r="B102" s="3" t="s">
        <v>148</v>
      </c>
      <c r="C102" s="3" t="s">
        <v>12</v>
      </c>
      <c r="D102" s="3" t="s">
        <v>19</v>
      </c>
      <c r="E102" s="3" t="s">
        <v>123</v>
      </c>
      <c r="F102" s="3" t="s">
        <v>59</v>
      </c>
      <c r="G102" s="3">
        <v>66</v>
      </c>
      <c r="H102" s="4">
        <v>6470</v>
      </c>
      <c r="I102" s="4">
        <v>5600</v>
      </c>
      <c r="J102" s="3" t="s">
        <v>22</v>
      </c>
      <c r="K102" s="3" t="s">
        <v>23</v>
      </c>
      <c r="L102">
        <f t="shared" si="9"/>
        <v>2025</v>
      </c>
      <c r="M102">
        <f t="shared" si="6"/>
        <v>11</v>
      </c>
      <c r="N102" t="str">
        <f t="shared" si="7"/>
        <v>Nov</v>
      </c>
      <c r="O102" t="str">
        <f t="shared" si="8"/>
        <v>2025-11</v>
      </c>
      <c r="P102" t="str">
        <f t="shared" si="10"/>
        <v>2025-W45</v>
      </c>
      <c r="Q102" t="str">
        <f t="shared" si="11"/>
        <v>Tue</v>
      </c>
    </row>
    <row r="103" spans="1:17" x14ac:dyDescent="0.3">
      <c r="A103" s="2">
        <v>45965</v>
      </c>
      <c r="B103" s="3" t="s">
        <v>149</v>
      </c>
      <c r="C103" s="3" t="s">
        <v>57</v>
      </c>
      <c r="D103" s="3" t="s">
        <v>53</v>
      </c>
      <c r="E103" s="3" t="s">
        <v>123</v>
      </c>
      <c r="F103" s="3" t="s">
        <v>59</v>
      </c>
      <c r="G103" s="3">
        <v>34</v>
      </c>
      <c r="H103" s="4">
        <v>3582</v>
      </c>
      <c r="I103" s="4">
        <v>4400</v>
      </c>
      <c r="J103" s="3" t="s">
        <v>22</v>
      </c>
      <c r="K103" s="3" t="s">
        <v>36</v>
      </c>
      <c r="L103">
        <f t="shared" si="9"/>
        <v>2025</v>
      </c>
      <c r="M103">
        <f t="shared" si="6"/>
        <v>11</v>
      </c>
      <c r="N103" t="str">
        <f t="shared" si="7"/>
        <v>Nov</v>
      </c>
      <c r="O103" t="str">
        <f t="shared" si="8"/>
        <v>2025-11</v>
      </c>
      <c r="P103" t="str">
        <f t="shared" si="10"/>
        <v>2025-W45</v>
      </c>
      <c r="Q103" t="str">
        <f t="shared" si="11"/>
        <v>Tue</v>
      </c>
    </row>
    <row r="104" spans="1:17" x14ac:dyDescent="0.3">
      <c r="A104" s="2">
        <v>45966</v>
      </c>
      <c r="B104" s="3" t="s">
        <v>150</v>
      </c>
      <c r="C104" s="3" t="s">
        <v>43</v>
      </c>
      <c r="D104" s="3" t="s">
        <v>13</v>
      </c>
      <c r="E104" s="3" t="s">
        <v>27</v>
      </c>
      <c r="F104" s="3" t="s">
        <v>15</v>
      </c>
      <c r="G104" s="3">
        <v>43</v>
      </c>
      <c r="H104" s="4">
        <v>2300</v>
      </c>
      <c r="I104" s="4">
        <v>2800</v>
      </c>
      <c r="J104" s="3" t="s">
        <v>22</v>
      </c>
      <c r="K104" s="3" t="s">
        <v>30</v>
      </c>
      <c r="L104">
        <f t="shared" si="9"/>
        <v>2025</v>
      </c>
      <c r="M104">
        <f t="shared" si="6"/>
        <v>11</v>
      </c>
      <c r="N104" t="str">
        <f t="shared" si="7"/>
        <v>Nov</v>
      </c>
      <c r="O104" t="str">
        <f t="shared" si="8"/>
        <v>2025-11</v>
      </c>
      <c r="P104" t="str">
        <f t="shared" si="10"/>
        <v>2025-W45</v>
      </c>
      <c r="Q104" t="str">
        <f t="shared" si="11"/>
        <v>Wed</v>
      </c>
    </row>
    <row r="105" spans="1:17" x14ac:dyDescent="0.3">
      <c r="A105" s="2">
        <v>45967</v>
      </c>
      <c r="B105" s="3" t="s">
        <v>151</v>
      </c>
      <c r="C105" s="3" t="s">
        <v>12</v>
      </c>
      <c r="D105" s="3" t="s">
        <v>53</v>
      </c>
      <c r="E105" s="3" t="s">
        <v>29</v>
      </c>
      <c r="F105" s="3" t="s">
        <v>21</v>
      </c>
      <c r="G105" s="3">
        <v>87</v>
      </c>
      <c r="H105" s="4">
        <v>3713</v>
      </c>
      <c r="I105" s="4">
        <v>3100</v>
      </c>
      <c r="J105" s="3" t="s">
        <v>22</v>
      </c>
      <c r="K105" s="3" t="s">
        <v>36</v>
      </c>
      <c r="L105">
        <f t="shared" si="9"/>
        <v>2025</v>
      </c>
      <c r="M105">
        <f t="shared" si="6"/>
        <v>11</v>
      </c>
      <c r="N105" t="str">
        <f t="shared" si="7"/>
        <v>Nov</v>
      </c>
      <c r="O105" t="str">
        <f t="shared" si="8"/>
        <v>2025-11</v>
      </c>
      <c r="P105" t="str">
        <f t="shared" si="10"/>
        <v>2025-W45</v>
      </c>
      <c r="Q105" t="str">
        <f t="shared" si="11"/>
        <v>Thu</v>
      </c>
    </row>
    <row r="106" spans="1:17" x14ac:dyDescent="0.3">
      <c r="A106" s="2">
        <v>45967</v>
      </c>
      <c r="B106" s="3" t="s">
        <v>152</v>
      </c>
      <c r="C106" s="3" t="s">
        <v>32</v>
      </c>
      <c r="D106" s="3" t="s">
        <v>53</v>
      </c>
      <c r="E106" s="3" t="s">
        <v>68</v>
      </c>
      <c r="F106" s="3" t="s">
        <v>34</v>
      </c>
      <c r="G106" s="3">
        <v>57</v>
      </c>
      <c r="H106" s="4">
        <v>3553</v>
      </c>
      <c r="I106" s="4">
        <v>4000</v>
      </c>
      <c r="J106" s="3" t="s">
        <v>22</v>
      </c>
      <c r="K106" s="3" t="s">
        <v>36</v>
      </c>
      <c r="L106">
        <f t="shared" si="9"/>
        <v>2025</v>
      </c>
      <c r="M106">
        <f t="shared" si="6"/>
        <v>11</v>
      </c>
      <c r="N106" t="str">
        <f t="shared" si="7"/>
        <v>Nov</v>
      </c>
      <c r="O106" t="str">
        <f t="shared" si="8"/>
        <v>2025-11</v>
      </c>
      <c r="P106" t="str">
        <f t="shared" si="10"/>
        <v>2025-W45</v>
      </c>
      <c r="Q106" t="str">
        <f t="shared" si="11"/>
        <v>Thu</v>
      </c>
    </row>
    <row r="107" spans="1:17" x14ac:dyDescent="0.3">
      <c r="A107" s="2">
        <v>45967</v>
      </c>
      <c r="B107" s="3" t="s">
        <v>153</v>
      </c>
      <c r="C107" s="3" t="s">
        <v>32</v>
      </c>
      <c r="D107" s="3" t="s">
        <v>53</v>
      </c>
      <c r="E107" s="3" t="s">
        <v>27</v>
      </c>
      <c r="F107" s="3" t="s">
        <v>15</v>
      </c>
      <c r="G107" s="3">
        <v>116</v>
      </c>
      <c r="H107" s="4">
        <v>6787</v>
      </c>
      <c r="I107" s="4">
        <v>7400</v>
      </c>
      <c r="J107" s="3" t="s">
        <v>22</v>
      </c>
      <c r="K107" s="3" t="s">
        <v>36</v>
      </c>
      <c r="L107">
        <f t="shared" si="9"/>
        <v>2025</v>
      </c>
      <c r="M107">
        <f t="shared" si="6"/>
        <v>11</v>
      </c>
      <c r="N107" t="str">
        <f t="shared" si="7"/>
        <v>Nov</v>
      </c>
      <c r="O107" t="str">
        <f t="shared" si="8"/>
        <v>2025-11</v>
      </c>
      <c r="P107" t="str">
        <f t="shared" si="10"/>
        <v>2025-W45</v>
      </c>
      <c r="Q107" t="str">
        <f t="shared" si="11"/>
        <v>Thu</v>
      </c>
    </row>
    <row r="108" spans="1:17" x14ac:dyDescent="0.3">
      <c r="A108" s="2">
        <v>45967</v>
      </c>
      <c r="B108" s="3" t="s">
        <v>154</v>
      </c>
      <c r="C108" s="3" t="s">
        <v>12</v>
      </c>
      <c r="D108" s="3" t="s">
        <v>26</v>
      </c>
      <c r="E108" s="3" t="s">
        <v>68</v>
      </c>
      <c r="F108" s="3" t="s">
        <v>34</v>
      </c>
      <c r="G108" s="3">
        <v>86</v>
      </c>
      <c r="H108" s="4">
        <v>5431</v>
      </c>
      <c r="I108" s="4">
        <v>5000</v>
      </c>
      <c r="J108" s="3" t="s">
        <v>22</v>
      </c>
      <c r="K108" s="3" t="s">
        <v>17</v>
      </c>
      <c r="L108">
        <f t="shared" si="9"/>
        <v>2025</v>
      </c>
      <c r="M108">
        <f t="shared" si="6"/>
        <v>11</v>
      </c>
      <c r="N108" t="str">
        <f t="shared" si="7"/>
        <v>Nov</v>
      </c>
      <c r="O108" t="str">
        <f t="shared" si="8"/>
        <v>2025-11</v>
      </c>
      <c r="P108" t="str">
        <f t="shared" si="10"/>
        <v>2025-W45</v>
      </c>
      <c r="Q108" t="str">
        <f t="shared" si="11"/>
        <v>Thu</v>
      </c>
    </row>
    <row r="109" spans="1:17" x14ac:dyDescent="0.3">
      <c r="A109" s="2">
        <v>45968</v>
      </c>
      <c r="B109" s="3" t="s">
        <v>155</v>
      </c>
      <c r="C109" s="3" t="s">
        <v>43</v>
      </c>
      <c r="D109" s="3" t="s">
        <v>26</v>
      </c>
      <c r="E109" s="3" t="s">
        <v>29</v>
      </c>
      <c r="F109" s="3" t="s">
        <v>21</v>
      </c>
      <c r="G109" s="3">
        <v>82</v>
      </c>
      <c r="H109" s="4">
        <v>3150</v>
      </c>
      <c r="I109" s="4">
        <v>2600</v>
      </c>
      <c r="J109" s="3" t="s">
        <v>22</v>
      </c>
      <c r="K109" s="3" t="s">
        <v>30</v>
      </c>
      <c r="L109">
        <f t="shared" si="9"/>
        <v>2025</v>
      </c>
      <c r="M109">
        <f t="shared" si="6"/>
        <v>11</v>
      </c>
      <c r="N109" t="str">
        <f t="shared" si="7"/>
        <v>Nov</v>
      </c>
      <c r="O109" t="str">
        <f t="shared" si="8"/>
        <v>2025-11</v>
      </c>
      <c r="P109" t="str">
        <f t="shared" si="10"/>
        <v>2025-W45</v>
      </c>
      <c r="Q109" t="str">
        <f t="shared" si="11"/>
        <v>Fri</v>
      </c>
    </row>
    <row r="110" spans="1:17" x14ac:dyDescent="0.3">
      <c r="A110" s="2">
        <v>45968</v>
      </c>
      <c r="B110" s="3" t="s">
        <v>156</v>
      </c>
      <c r="C110" s="3" t="s">
        <v>57</v>
      </c>
      <c r="D110" s="3" t="s">
        <v>19</v>
      </c>
      <c r="E110" s="3" t="s">
        <v>44</v>
      </c>
      <c r="F110" s="3" t="s">
        <v>34</v>
      </c>
      <c r="G110" s="3">
        <v>62</v>
      </c>
      <c r="H110" s="4">
        <v>4085</v>
      </c>
      <c r="I110" s="4">
        <v>4400</v>
      </c>
      <c r="J110" s="3" t="s">
        <v>22</v>
      </c>
      <c r="K110" s="3" t="s">
        <v>17</v>
      </c>
      <c r="L110">
        <f t="shared" si="9"/>
        <v>2025</v>
      </c>
      <c r="M110">
        <f t="shared" si="6"/>
        <v>11</v>
      </c>
      <c r="N110" t="str">
        <f t="shared" si="7"/>
        <v>Nov</v>
      </c>
      <c r="O110" t="str">
        <f t="shared" si="8"/>
        <v>2025-11</v>
      </c>
      <c r="P110" t="str">
        <f t="shared" si="10"/>
        <v>2025-W45</v>
      </c>
      <c r="Q110" t="str">
        <f t="shared" si="11"/>
        <v>Fri</v>
      </c>
    </row>
    <row r="111" spans="1:17" x14ac:dyDescent="0.3">
      <c r="A111" s="2">
        <v>45968</v>
      </c>
      <c r="B111" s="3" t="s">
        <v>157</v>
      </c>
      <c r="C111" s="3" t="s">
        <v>57</v>
      </c>
      <c r="D111" s="3" t="s">
        <v>19</v>
      </c>
      <c r="E111" s="3" t="s">
        <v>41</v>
      </c>
      <c r="F111" s="3" t="s">
        <v>21</v>
      </c>
      <c r="G111" s="3">
        <v>102</v>
      </c>
      <c r="H111" s="4">
        <v>4049</v>
      </c>
      <c r="I111" s="4">
        <v>3300</v>
      </c>
      <c r="J111" s="3" t="s">
        <v>22</v>
      </c>
      <c r="K111" s="3" t="s">
        <v>30</v>
      </c>
      <c r="L111">
        <f t="shared" si="9"/>
        <v>2025</v>
      </c>
      <c r="M111">
        <f t="shared" si="6"/>
        <v>11</v>
      </c>
      <c r="N111" t="str">
        <f t="shared" si="7"/>
        <v>Nov</v>
      </c>
      <c r="O111" t="str">
        <f t="shared" si="8"/>
        <v>2025-11</v>
      </c>
      <c r="P111" t="str">
        <f t="shared" si="10"/>
        <v>2025-W45</v>
      </c>
      <c r="Q111" t="str">
        <f t="shared" si="11"/>
        <v>Fri</v>
      </c>
    </row>
    <row r="112" spans="1:17" x14ac:dyDescent="0.3">
      <c r="A112" s="2">
        <v>45969</v>
      </c>
      <c r="B112" s="3" t="s">
        <v>158</v>
      </c>
      <c r="C112" s="3" t="s">
        <v>32</v>
      </c>
      <c r="D112" s="3" t="s">
        <v>53</v>
      </c>
      <c r="E112" s="3" t="s">
        <v>27</v>
      </c>
      <c r="F112" s="3" t="s">
        <v>15</v>
      </c>
      <c r="G112" s="3">
        <v>107</v>
      </c>
      <c r="H112" s="4">
        <v>6013</v>
      </c>
      <c r="I112" s="4">
        <v>6300</v>
      </c>
      <c r="J112" s="3" t="s">
        <v>16</v>
      </c>
      <c r="K112" s="3" t="s">
        <v>30</v>
      </c>
      <c r="L112">
        <f t="shared" si="9"/>
        <v>2025</v>
      </c>
      <c r="M112">
        <f t="shared" si="6"/>
        <v>11</v>
      </c>
      <c r="N112" t="str">
        <f t="shared" si="7"/>
        <v>Nov</v>
      </c>
      <c r="O112" t="str">
        <f t="shared" si="8"/>
        <v>2025-11</v>
      </c>
      <c r="P112" t="str">
        <f t="shared" si="10"/>
        <v>2025-W45</v>
      </c>
      <c r="Q112" t="str">
        <f t="shared" si="11"/>
        <v>Sat</v>
      </c>
    </row>
    <row r="113" spans="1:17" x14ac:dyDescent="0.3">
      <c r="A113" s="2">
        <v>45970</v>
      </c>
      <c r="B113" s="3" t="s">
        <v>159</v>
      </c>
      <c r="C113" s="3" t="s">
        <v>12</v>
      </c>
      <c r="D113" s="3" t="s">
        <v>19</v>
      </c>
      <c r="E113" s="3" t="s">
        <v>61</v>
      </c>
      <c r="F113" s="3" t="s">
        <v>59</v>
      </c>
      <c r="G113" s="3">
        <v>77</v>
      </c>
      <c r="H113" s="4">
        <v>7290</v>
      </c>
      <c r="I113" s="4">
        <v>7700</v>
      </c>
      <c r="J113" s="3" t="s">
        <v>22</v>
      </c>
      <c r="K113" s="3" t="s">
        <v>30</v>
      </c>
      <c r="L113">
        <f t="shared" si="9"/>
        <v>2025</v>
      </c>
      <c r="M113">
        <f t="shared" si="6"/>
        <v>11</v>
      </c>
      <c r="N113" t="str">
        <f t="shared" si="7"/>
        <v>Nov</v>
      </c>
      <c r="O113" t="str">
        <f t="shared" si="8"/>
        <v>2025-11</v>
      </c>
      <c r="P113" t="str">
        <f t="shared" si="10"/>
        <v>2025-W45</v>
      </c>
      <c r="Q113" t="str">
        <f t="shared" si="11"/>
        <v>Sun</v>
      </c>
    </row>
    <row r="114" spans="1:17" x14ac:dyDescent="0.3">
      <c r="A114" s="2">
        <v>45970</v>
      </c>
      <c r="B114" s="3" t="s">
        <v>160</v>
      </c>
      <c r="C114" s="3" t="s">
        <v>38</v>
      </c>
      <c r="D114" s="3" t="s">
        <v>53</v>
      </c>
      <c r="E114" s="3" t="s">
        <v>123</v>
      </c>
      <c r="F114" s="3" t="s">
        <v>59</v>
      </c>
      <c r="G114" s="3">
        <v>66</v>
      </c>
      <c r="H114" s="4">
        <v>6465</v>
      </c>
      <c r="I114" s="4">
        <v>6500</v>
      </c>
      <c r="J114" s="3" t="s">
        <v>22</v>
      </c>
      <c r="K114" s="3" t="s">
        <v>30</v>
      </c>
      <c r="L114">
        <f t="shared" si="9"/>
        <v>2025</v>
      </c>
      <c r="M114">
        <f t="shared" si="6"/>
        <v>11</v>
      </c>
      <c r="N114" t="str">
        <f t="shared" si="7"/>
        <v>Nov</v>
      </c>
      <c r="O114" t="str">
        <f t="shared" si="8"/>
        <v>2025-11</v>
      </c>
      <c r="P114" t="str">
        <f t="shared" si="10"/>
        <v>2025-W45</v>
      </c>
      <c r="Q114" t="str">
        <f t="shared" si="11"/>
        <v>Sun</v>
      </c>
    </row>
    <row r="115" spans="1:17" x14ac:dyDescent="0.3">
      <c r="A115" s="2">
        <v>45970</v>
      </c>
      <c r="B115" s="3" t="s">
        <v>161</v>
      </c>
      <c r="C115" s="3" t="s">
        <v>38</v>
      </c>
      <c r="D115" s="3" t="s">
        <v>26</v>
      </c>
      <c r="E115" s="3" t="s">
        <v>48</v>
      </c>
      <c r="F115" s="3" t="s">
        <v>15</v>
      </c>
      <c r="G115" s="3">
        <v>69</v>
      </c>
      <c r="H115" s="4">
        <v>3624</v>
      </c>
      <c r="I115" s="4">
        <v>3000</v>
      </c>
      <c r="J115" s="3" t="s">
        <v>22</v>
      </c>
      <c r="K115" s="3" t="s">
        <v>30</v>
      </c>
      <c r="L115">
        <f t="shared" si="9"/>
        <v>2025</v>
      </c>
      <c r="M115">
        <f t="shared" si="6"/>
        <v>11</v>
      </c>
      <c r="N115" t="str">
        <f t="shared" si="7"/>
        <v>Nov</v>
      </c>
      <c r="O115" t="str">
        <f t="shared" si="8"/>
        <v>2025-11</v>
      </c>
      <c r="P115" t="str">
        <f t="shared" si="10"/>
        <v>2025-W45</v>
      </c>
      <c r="Q115" t="str">
        <f t="shared" si="11"/>
        <v>Sun</v>
      </c>
    </row>
    <row r="116" spans="1:17" x14ac:dyDescent="0.3">
      <c r="A116" s="2">
        <v>45971</v>
      </c>
      <c r="B116" s="3" t="s">
        <v>162</v>
      </c>
      <c r="C116" s="3" t="s">
        <v>43</v>
      </c>
      <c r="D116" s="3" t="s">
        <v>65</v>
      </c>
      <c r="E116" s="3" t="s">
        <v>41</v>
      </c>
      <c r="F116" s="3" t="s">
        <v>21</v>
      </c>
      <c r="G116" s="3">
        <v>100</v>
      </c>
      <c r="H116" s="4">
        <v>3429</v>
      </c>
      <c r="I116" s="4">
        <v>3400</v>
      </c>
      <c r="J116" s="3" t="s">
        <v>22</v>
      </c>
      <c r="K116" s="3" t="s">
        <v>36</v>
      </c>
      <c r="L116">
        <f t="shared" si="9"/>
        <v>2025</v>
      </c>
      <c r="M116">
        <f t="shared" si="6"/>
        <v>11</v>
      </c>
      <c r="N116" t="str">
        <f t="shared" si="7"/>
        <v>Nov</v>
      </c>
      <c r="O116" t="str">
        <f t="shared" si="8"/>
        <v>2025-11</v>
      </c>
      <c r="P116" t="str">
        <f t="shared" si="10"/>
        <v>2025-W46</v>
      </c>
      <c r="Q116" t="str">
        <f t="shared" si="11"/>
        <v>Mon</v>
      </c>
    </row>
    <row r="117" spans="1:17" x14ac:dyDescent="0.3">
      <c r="A117" s="2">
        <v>45971</v>
      </c>
      <c r="B117" s="3" t="s">
        <v>163</v>
      </c>
      <c r="C117" s="3" t="s">
        <v>12</v>
      </c>
      <c r="D117" s="3" t="s">
        <v>47</v>
      </c>
      <c r="E117" s="3" t="s">
        <v>48</v>
      </c>
      <c r="F117" s="3" t="s">
        <v>15</v>
      </c>
      <c r="G117" s="3">
        <v>44</v>
      </c>
      <c r="H117" s="4">
        <v>2478</v>
      </c>
      <c r="I117" s="4">
        <v>2600</v>
      </c>
      <c r="J117" s="3" t="s">
        <v>22</v>
      </c>
      <c r="K117" s="3" t="s">
        <v>30</v>
      </c>
      <c r="L117">
        <f t="shared" si="9"/>
        <v>2025</v>
      </c>
      <c r="M117">
        <f t="shared" si="6"/>
        <v>11</v>
      </c>
      <c r="N117" t="str">
        <f t="shared" si="7"/>
        <v>Nov</v>
      </c>
      <c r="O117" t="str">
        <f t="shared" si="8"/>
        <v>2025-11</v>
      </c>
      <c r="P117" t="str">
        <f t="shared" si="10"/>
        <v>2025-W46</v>
      </c>
      <c r="Q117" t="str">
        <f t="shared" si="11"/>
        <v>Mon</v>
      </c>
    </row>
    <row r="118" spans="1:17" x14ac:dyDescent="0.3">
      <c r="A118" s="2">
        <v>45971</v>
      </c>
      <c r="B118" s="3" t="s">
        <v>164</v>
      </c>
      <c r="C118" s="3" t="s">
        <v>32</v>
      </c>
      <c r="D118" s="3" t="s">
        <v>19</v>
      </c>
      <c r="E118" s="3" t="s">
        <v>20</v>
      </c>
      <c r="F118" s="3" t="s">
        <v>21</v>
      </c>
      <c r="G118" s="3">
        <v>53</v>
      </c>
      <c r="H118" s="4">
        <v>1691</v>
      </c>
      <c r="I118" s="4">
        <v>1900</v>
      </c>
      <c r="J118" s="3" t="s">
        <v>22</v>
      </c>
      <c r="K118" s="3" t="s">
        <v>30</v>
      </c>
      <c r="L118">
        <f t="shared" si="9"/>
        <v>2025</v>
      </c>
      <c r="M118">
        <f t="shared" si="6"/>
        <v>11</v>
      </c>
      <c r="N118" t="str">
        <f t="shared" si="7"/>
        <v>Nov</v>
      </c>
      <c r="O118" t="str">
        <f t="shared" si="8"/>
        <v>2025-11</v>
      </c>
      <c r="P118" t="str">
        <f t="shared" si="10"/>
        <v>2025-W46</v>
      </c>
      <c r="Q118" t="str">
        <f t="shared" si="11"/>
        <v>Mon</v>
      </c>
    </row>
    <row r="119" spans="1:17" x14ac:dyDescent="0.3">
      <c r="A119" s="2">
        <v>45971</v>
      </c>
      <c r="B119" s="3" t="s">
        <v>165</v>
      </c>
      <c r="C119" s="3" t="s">
        <v>38</v>
      </c>
      <c r="D119" s="3" t="s">
        <v>26</v>
      </c>
      <c r="E119" s="3" t="s">
        <v>20</v>
      </c>
      <c r="F119" s="3" t="s">
        <v>21</v>
      </c>
      <c r="G119" s="3">
        <v>102</v>
      </c>
      <c r="H119" s="4">
        <v>4319</v>
      </c>
      <c r="I119" s="4">
        <v>5200</v>
      </c>
      <c r="J119" s="3" t="s">
        <v>39</v>
      </c>
      <c r="K119" s="3" t="s">
        <v>30</v>
      </c>
      <c r="L119">
        <f t="shared" si="9"/>
        <v>2025</v>
      </c>
      <c r="M119">
        <f t="shared" si="6"/>
        <v>11</v>
      </c>
      <c r="N119" t="str">
        <f t="shared" si="7"/>
        <v>Nov</v>
      </c>
      <c r="O119" t="str">
        <f t="shared" si="8"/>
        <v>2025-11</v>
      </c>
      <c r="P119" t="str">
        <f t="shared" si="10"/>
        <v>2025-W46</v>
      </c>
      <c r="Q119" t="str">
        <f t="shared" si="11"/>
        <v>Mon</v>
      </c>
    </row>
    <row r="120" spans="1:17" x14ac:dyDescent="0.3">
      <c r="A120" s="2">
        <v>45972</v>
      </c>
      <c r="B120" s="3" t="s">
        <v>166</v>
      </c>
      <c r="C120" s="3" t="s">
        <v>43</v>
      </c>
      <c r="D120" s="3" t="s">
        <v>19</v>
      </c>
      <c r="E120" s="3" t="s">
        <v>58</v>
      </c>
      <c r="F120" s="3" t="s">
        <v>59</v>
      </c>
      <c r="G120" s="3">
        <v>94</v>
      </c>
      <c r="H120" s="4">
        <v>7606</v>
      </c>
      <c r="I120" s="4">
        <v>6500</v>
      </c>
      <c r="J120" s="3" t="s">
        <v>22</v>
      </c>
      <c r="K120" s="3" t="s">
        <v>17</v>
      </c>
      <c r="L120">
        <f t="shared" si="9"/>
        <v>2025</v>
      </c>
      <c r="M120">
        <f t="shared" si="6"/>
        <v>11</v>
      </c>
      <c r="N120" t="str">
        <f t="shared" si="7"/>
        <v>Nov</v>
      </c>
      <c r="O120" t="str">
        <f t="shared" si="8"/>
        <v>2025-11</v>
      </c>
      <c r="P120" t="str">
        <f t="shared" si="10"/>
        <v>2025-W46</v>
      </c>
      <c r="Q120" t="str">
        <f t="shared" si="11"/>
        <v>Tue</v>
      </c>
    </row>
    <row r="121" spans="1:17" x14ac:dyDescent="0.3">
      <c r="A121" s="2">
        <v>45972</v>
      </c>
      <c r="B121" s="3" t="s">
        <v>167</v>
      </c>
      <c r="C121" s="3" t="s">
        <v>25</v>
      </c>
      <c r="D121" s="3" t="s">
        <v>26</v>
      </c>
      <c r="E121" s="3" t="s">
        <v>61</v>
      </c>
      <c r="F121" s="3" t="s">
        <v>59</v>
      </c>
      <c r="G121" s="3">
        <v>44</v>
      </c>
      <c r="H121" s="4">
        <v>4640</v>
      </c>
      <c r="I121" s="4">
        <v>5100</v>
      </c>
      <c r="J121" s="3" t="s">
        <v>22</v>
      </c>
      <c r="K121" s="3" t="s">
        <v>36</v>
      </c>
      <c r="L121">
        <f t="shared" si="9"/>
        <v>2025</v>
      </c>
      <c r="M121">
        <f t="shared" si="6"/>
        <v>11</v>
      </c>
      <c r="N121" t="str">
        <f t="shared" si="7"/>
        <v>Nov</v>
      </c>
      <c r="O121" t="str">
        <f t="shared" si="8"/>
        <v>2025-11</v>
      </c>
      <c r="P121" t="str">
        <f t="shared" si="10"/>
        <v>2025-W46</v>
      </c>
      <c r="Q121" t="str">
        <f t="shared" si="11"/>
        <v>Tue</v>
      </c>
    </row>
    <row r="122" spans="1:17" x14ac:dyDescent="0.3">
      <c r="A122" s="2">
        <v>45972</v>
      </c>
      <c r="B122" s="3" t="s">
        <v>168</v>
      </c>
      <c r="C122" s="3" t="s">
        <v>32</v>
      </c>
      <c r="D122" s="3" t="s">
        <v>26</v>
      </c>
      <c r="E122" s="3" t="s">
        <v>27</v>
      </c>
      <c r="F122" s="3" t="s">
        <v>15</v>
      </c>
      <c r="G122" s="3">
        <v>16</v>
      </c>
      <c r="H122" s="4">
        <v>670</v>
      </c>
      <c r="I122" s="4">
        <v>800</v>
      </c>
      <c r="J122" s="3" t="s">
        <v>39</v>
      </c>
      <c r="K122" s="3" t="s">
        <v>36</v>
      </c>
      <c r="L122">
        <f t="shared" si="9"/>
        <v>2025</v>
      </c>
      <c r="M122">
        <f t="shared" si="6"/>
        <v>11</v>
      </c>
      <c r="N122" t="str">
        <f t="shared" si="7"/>
        <v>Nov</v>
      </c>
      <c r="O122" t="str">
        <f t="shared" si="8"/>
        <v>2025-11</v>
      </c>
      <c r="P122" t="str">
        <f t="shared" si="10"/>
        <v>2025-W46</v>
      </c>
      <c r="Q122" t="str">
        <f t="shared" si="11"/>
        <v>Tue</v>
      </c>
    </row>
    <row r="123" spans="1:17" x14ac:dyDescent="0.3">
      <c r="A123" s="2">
        <v>45972</v>
      </c>
      <c r="B123" s="3" t="s">
        <v>169</v>
      </c>
      <c r="C123" s="3" t="s">
        <v>25</v>
      </c>
      <c r="D123" s="3" t="s">
        <v>19</v>
      </c>
      <c r="E123" s="3" t="s">
        <v>33</v>
      </c>
      <c r="F123" s="3" t="s">
        <v>34</v>
      </c>
      <c r="G123" s="3">
        <v>100</v>
      </c>
      <c r="H123" s="4">
        <v>5508</v>
      </c>
      <c r="I123" s="4">
        <v>6800</v>
      </c>
      <c r="J123" s="3" t="s">
        <v>22</v>
      </c>
      <c r="K123" s="3" t="s">
        <v>36</v>
      </c>
      <c r="L123">
        <f t="shared" si="9"/>
        <v>2025</v>
      </c>
      <c r="M123">
        <f t="shared" si="6"/>
        <v>11</v>
      </c>
      <c r="N123" t="str">
        <f t="shared" si="7"/>
        <v>Nov</v>
      </c>
      <c r="O123" t="str">
        <f t="shared" si="8"/>
        <v>2025-11</v>
      </c>
      <c r="P123" t="str">
        <f t="shared" si="10"/>
        <v>2025-W46</v>
      </c>
      <c r="Q123" t="str">
        <f t="shared" si="11"/>
        <v>Tue</v>
      </c>
    </row>
    <row r="124" spans="1:17" x14ac:dyDescent="0.3">
      <c r="A124" s="2">
        <v>45973</v>
      </c>
      <c r="B124" s="3" t="s">
        <v>170</v>
      </c>
      <c r="C124" s="3" t="s">
        <v>50</v>
      </c>
      <c r="D124" s="3" t="s">
        <v>26</v>
      </c>
      <c r="E124" s="3" t="s">
        <v>20</v>
      </c>
      <c r="F124" s="3" t="s">
        <v>21</v>
      </c>
      <c r="G124" s="3">
        <v>89</v>
      </c>
      <c r="H124" s="4">
        <v>3437</v>
      </c>
      <c r="I124" s="4">
        <v>4100</v>
      </c>
      <c r="J124" s="3" t="s">
        <v>22</v>
      </c>
      <c r="K124" s="3" t="s">
        <v>30</v>
      </c>
      <c r="L124">
        <f t="shared" si="9"/>
        <v>2025</v>
      </c>
      <c r="M124">
        <f t="shared" si="6"/>
        <v>11</v>
      </c>
      <c r="N124" t="str">
        <f t="shared" si="7"/>
        <v>Nov</v>
      </c>
      <c r="O124" t="str">
        <f t="shared" si="8"/>
        <v>2025-11</v>
      </c>
      <c r="P124" t="str">
        <f t="shared" si="10"/>
        <v>2025-W46</v>
      </c>
      <c r="Q124" t="str">
        <f t="shared" si="11"/>
        <v>Wed</v>
      </c>
    </row>
    <row r="125" spans="1:17" x14ac:dyDescent="0.3">
      <c r="A125" s="2">
        <v>45973</v>
      </c>
      <c r="B125" s="3" t="s">
        <v>171</v>
      </c>
      <c r="C125" s="3" t="s">
        <v>38</v>
      </c>
      <c r="D125" s="3" t="s">
        <v>19</v>
      </c>
      <c r="E125" s="3" t="s">
        <v>29</v>
      </c>
      <c r="F125" s="3" t="s">
        <v>21</v>
      </c>
      <c r="G125" s="3">
        <v>18</v>
      </c>
      <c r="H125" s="4">
        <v>622</v>
      </c>
      <c r="I125" s="4">
        <v>600</v>
      </c>
      <c r="J125" s="3" t="s">
        <v>22</v>
      </c>
      <c r="K125" s="3" t="s">
        <v>30</v>
      </c>
      <c r="L125">
        <f t="shared" si="9"/>
        <v>2025</v>
      </c>
      <c r="M125">
        <f t="shared" si="6"/>
        <v>11</v>
      </c>
      <c r="N125" t="str">
        <f t="shared" si="7"/>
        <v>Nov</v>
      </c>
      <c r="O125" t="str">
        <f t="shared" si="8"/>
        <v>2025-11</v>
      </c>
      <c r="P125" t="str">
        <f t="shared" si="10"/>
        <v>2025-W46</v>
      </c>
      <c r="Q125" t="str">
        <f t="shared" si="11"/>
        <v>Wed</v>
      </c>
    </row>
    <row r="126" spans="1:17" x14ac:dyDescent="0.3">
      <c r="A126" s="2">
        <v>45973</v>
      </c>
      <c r="B126" s="3" t="s">
        <v>172</v>
      </c>
      <c r="C126" s="3" t="s">
        <v>57</v>
      </c>
      <c r="D126" s="3" t="s">
        <v>26</v>
      </c>
      <c r="E126" s="3" t="s">
        <v>27</v>
      </c>
      <c r="F126" s="3" t="s">
        <v>15</v>
      </c>
      <c r="G126" s="3">
        <v>85</v>
      </c>
      <c r="H126" s="4">
        <v>4905</v>
      </c>
      <c r="I126" s="4">
        <v>4900</v>
      </c>
      <c r="J126" s="3" t="s">
        <v>22</v>
      </c>
      <c r="K126" s="3" t="s">
        <v>36</v>
      </c>
      <c r="L126">
        <f t="shared" si="9"/>
        <v>2025</v>
      </c>
      <c r="M126">
        <f t="shared" si="6"/>
        <v>11</v>
      </c>
      <c r="N126" t="str">
        <f t="shared" si="7"/>
        <v>Nov</v>
      </c>
      <c r="O126" t="str">
        <f t="shared" si="8"/>
        <v>2025-11</v>
      </c>
      <c r="P126" t="str">
        <f t="shared" si="10"/>
        <v>2025-W46</v>
      </c>
      <c r="Q126" t="str">
        <f t="shared" si="11"/>
        <v>Wed</v>
      </c>
    </row>
    <row r="127" spans="1:17" x14ac:dyDescent="0.3">
      <c r="A127" s="2">
        <v>45974</v>
      </c>
      <c r="B127" s="3" t="s">
        <v>173</v>
      </c>
      <c r="C127" s="3" t="s">
        <v>57</v>
      </c>
      <c r="D127" s="3" t="s">
        <v>65</v>
      </c>
      <c r="E127" s="3" t="s">
        <v>44</v>
      </c>
      <c r="F127" s="3" t="s">
        <v>34</v>
      </c>
      <c r="G127" s="3">
        <v>115</v>
      </c>
      <c r="H127" s="4">
        <v>6665</v>
      </c>
      <c r="I127" s="4">
        <v>5700</v>
      </c>
      <c r="J127" s="3" t="s">
        <v>39</v>
      </c>
      <c r="K127" s="3" t="s">
        <v>36</v>
      </c>
      <c r="L127">
        <f t="shared" si="9"/>
        <v>2025</v>
      </c>
      <c r="M127">
        <f t="shared" si="6"/>
        <v>11</v>
      </c>
      <c r="N127" t="str">
        <f t="shared" si="7"/>
        <v>Nov</v>
      </c>
      <c r="O127" t="str">
        <f t="shared" si="8"/>
        <v>2025-11</v>
      </c>
      <c r="P127" t="str">
        <f t="shared" si="10"/>
        <v>2025-W46</v>
      </c>
      <c r="Q127" t="str">
        <f t="shared" si="11"/>
        <v>Thu</v>
      </c>
    </row>
    <row r="128" spans="1:17" x14ac:dyDescent="0.3">
      <c r="A128" s="2">
        <v>45974</v>
      </c>
      <c r="B128" s="3" t="s">
        <v>174</v>
      </c>
      <c r="C128" s="3" t="s">
        <v>12</v>
      </c>
      <c r="D128" s="3" t="s">
        <v>13</v>
      </c>
      <c r="E128" s="3" t="s">
        <v>29</v>
      </c>
      <c r="F128" s="3" t="s">
        <v>21</v>
      </c>
      <c r="G128" s="3">
        <v>57</v>
      </c>
      <c r="H128" s="4">
        <v>2305</v>
      </c>
      <c r="I128" s="4">
        <v>2700</v>
      </c>
      <c r="J128" s="3" t="s">
        <v>16</v>
      </c>
      <c r="K128" s="3" t="s">
        <v>36</v>
      </c>
      <c r="L128">
        <f t="shared" si="9"/>
        <v>2025</v>
      </c>
      <c r="M128">
        <f t="shared" si="6"/>
        <v>11</v>
      </c>
      <c r="N128" t="str">
        <f t="shared" si="7"/>
        <v>Nov</v>
      </c>
      <c r="O128" t="str">
        <f t="shared" si="8"/>
        <v>2025-11</v>
      </c>
      <c r="P128" t="str">
        <f t="shared" si="10"/>
        <v>2025-W46</v>
      </c>
      <c r="Q128" t="str">
        <f t="shared" si="11"/>
        <v>Thu</v>
      </c>
    </row>
    <row r="129" spans="1:17" x14ac:dyDescent="0.3">
      <c r="A129" s="2">
        <v>45974</v>
      </c>
      <c r="B129" s="3" t="s">
        <v>175</v>
      </c>
      <c r="C129" s="3" t="s">
        <v>50</v>
      </c>
      <c r="D129" s="3" t="s">
        <v>53</v>
      </c>
      <c r="E129" s="3" t="s">
        <v>29</v>
      </c>
      <c r="F129" s="3" t="s">
        <v>21</v>
      </c>
      <c r="G129" s="3">
        <v>102</v>
      </c>
      <c r="H129" s="4">
        <v>3375</v>
      </c>
      <c r="I129" s="4">
        <v>3700</v>
      </c>
      <c r="J129" s="3" t="s">
        <v>22</v>
      </c>
      <c r="K129" s="3" t="s">
        <v>36</v>
      </c>
      <c r="L129">
        <f t="shared" si="9"/>
        <v>2025</v>
      </c>
      <c r="M129">
        <f t="shared" si="6"/>
        <v>11</v>
      </c>
      <c r="N129" t="str">
        <f t="shared" si="7"/>
        <v>Nov</v>
      </c>
      <c r="O129" t="str">
        <f t="shared" si="8"/>
        <v>2025-11</v>
      </c>
      <c r="P129" t="str">
        <f t="shared" si="10"/>
        <v>2025-W46</v>
      </c>
      <c r="Q129" t="str">
        <f t="shared" si="11"/>
        <v>Thu</v>
      </c>
    </row>
    <row r="130" spans="1:17" x14ac:dyDescent="0.3">
      <c r="A130" s="2">
        <v>45975</v>
      </c>
      <c r="B130" s="3" t="s">
        <v>176</v>
      </c>
      <c r="C130" s="3" t="s">
        <v>12</v>
      </c>
      <c r="D130" s="3" t="s">
        <v>13</v>
      </c>
      <c r="E130" s="3" t="s">
        <v>14</v>
      </c>
      <c r="F130" s="3" t="s">
        <v>15</v>
      </c>
      <c r="G130" s="3">
        <v>31</v>
      </c>
      <c r="H130" s="4">
        <v>1827</v>
      </c>
      <c r="I130" s="4">
        <v>1500</v>
      </c>
      <c r="J130" s="3" t="s">
        <v>22</v>
      </c>
      <c r="K130" s="3" t="s">
        <v>36</v>
      </c>
      <c r="L130">
        <f t="shared" si="9"/>
        <v>2025</v>
      </c>
      <c r="M130">
        <f t="shared" ref="M130:M193" si="12">MONTH($A130)</f>
        <v>11</v>
      </c>
      <c r="N130" t="str">
        <f t="shared" ref="N130:N193" si="13">TEXT($A130,"mmm")</f>
        <v>Nov</v>
      </c>
      <c r="O130" t="str">
        <f t="shared" ref="O130:O193" si="14">YEAR($A130)&amp;"-"&amp;TEXT(MONTH($A130),"00")</f>
        <v>2025-11</v>
      </c>
      <c r="P130" t="str">
        <f t="shared" si="10"/>
        <v>2025-W46</v>
      </c>
      <c r="Q130" t="str">
        <f t="shared" si="11"/>
        <v>Fri</v>
      </c>
    </row>
    <row r="131" spans="1:17" x14ac:dyDescent="0.3">
      <c r="A131" s="2">
        <v>45975</v>
      </c>
      <c r="B131" s="3" t="s">
        <v>177</v>
      </c>
      <c r="C131" s="3" t="s">
        <v>32</v>
      </c>
      <c r="D131" s="3" t="s">
        <v>26</v>
      </c>
      <c r="E131" s="3" t="s">
        <v>44</v>
      </c>
      <c r="F131" s="3" t="s">
        <v>34</v>
      </c>
      <c r="G131" s="3">
        <v>116</v>
      </c>
      <c r="H131" s="4">
        <v>7587</v>
      </c>
      <c r="I131" s="4">
        <v>8400</v>
      </c>
      <c r="J131" s="3" t="s">
        <v>22</v>
      </c>
      <c r="K131" s="3" t="s">
        <v>30</v>
      </c>
      <c r="L131">
        <f t="shared" ref="L131:L194" si="15">YEAR($A131)</f>
        <v>2025</v>
      </c>
      <c r="M131">
        <f t="shared" si="12"/>
        <v>11</v>
      </c>
      <c r="N131" t="str">
        <f t="shared" si="13"/>
        <v>Nov</v>
      </c>
      <c r="O131" t="str">
        <f t="shared" si="14"/>
        <v>2025-11</v>
      </c>
      <c r="P131" t="str">
        <f t="shared" ref="P131:P194" si="16">YEAR($A131)&amp;"-W"&amp;TEXT(WEEKNUM($A131,2),"00")</f>
        <v>2025-W46</v>
      </c>
      <c r="Q131" t="str">
        <f t="shared" ref="Q131:Q194" si="17">CHOOSE(WEEKDAY($A131,2),"Mon","Tue","Wed","Thu","Fri","Sat","Sun")</f>
        <v>Fri</v>
      </c>
    </row>
    <row r="132" spans="1:17" x14ac:dyDescent="0.3">
      <c r="A132" s="2">
        <v>45975</v>
      </c>
      <c r="B132" s="3" t="s">
        <v>178</v>
      </c>
      <c r="C132" s="3" t="s">
        <v>50</v>
      </c>
      <c r="D132" s="3" t="s">
        <v>26</v>
      </c>
      <c r="E132" s="3" t="s">
        <v>61</v>
      </c>
      <c r="F132" s="3" t="s">
        <v>59</v>
      </c>
      <c r="G132" s="3">
        <v>23</v>
      </c>
      <c r="H132" s="4">
        <v>2058</v>
      </c>
      <c r="I132" s="4">
        <v>2100</v>
      </c>
      <c r="J132" s="3" t="s">
        <v>22</v>
      </c>
      <c r="K132" s="3" t="s">
        <v>36</v>
      </c>
      <c r="L132">
        <f t="shared" si="15"/>
        <v>2025</v>
      </c>
      <c r="M132">
        <f t="shared" si="12"/>
        <v>11</v>
      </c>
      <c r="N132" t="str">
        <f t="shared" si="13"/>
        <v>Nov</v>
      </c>
      <c r="O132" t="str">
        <f t="shared" si="14"/>
        <v>2025-11</v>
      </c>
      <c r="P132" t="str">
        <f t="shared" si="16"/>
        <v>2025-W46</v>
      </c>
      <c r="Q132" t="str">
        <f t="shared" si="17"/>
        <v>Fri</v>
      </c>
    </row>
    <row r="133" spans="1:17" x14ac:dyDescent="0.3">
      <c r="A133" s="2">
        <v>45976</v>
      </c>
      <c r="B133" s="3" t="s">
        <v>179</v>
      </c>
      <c r="C133" s="3" t="s">
        <v>43</v>
      </c>
      <c r="D133" s="3" t="s">
        <v>26</v>
      </c>
      <c r="E133" s="3" t="s">
        <v>48</v>
      </c>
      <c r="F133" s="3" t="s">
        <v>15</v>
      </c>
      <c r="G133" s="3">
        <v>94</v>
      </c>
      <c r="H133" s="4">
        <v>5034</v>
      </c>
      <c r="I133" s="4">
        <v>5600</v>
      </c>
      <c r="J133" s="3" t="s">
        <v>22</v>
      </c>
      <c r="K133" s="3" t="s">
        <v>17</v>
      </c>
      <c r="L133">
        <f t="shared" si="15"/>
        <v>2025</v>
      </c>
      <c r="M133">
        <f t="shared" si="12"/>
        <v>11</v>
      </c>
      <c r="N133" t="str">
        <f t="shared" si="13"/>
        <v>Nov</v>
      </c>
      <c r="O133" t="str">
        <f t="shared" si="14"/>
        <v>2025-11</v>
      </c>
      <c r="P133" t="str">
        <f t="shared" si="16"/>
        <v>2025-W46</v>
      </c>
      <c r="Q133" t="str">
        <f t="shared" si="17"/>
        <v>Sat</v>
      </c>
    </row>
    <row r="134" spans="1:17" x14ac:dyDescent="0.3">
      <c r="A134" s="2">
        <v>45976</v>
      </c>
      <c r="B134" s="3" t="s">
        <v>180</v>
      </c>
      <c r="C134" s="3" t="s">
        <v>38</v>
      </c>
      <c r="D134" s="3" t="s">
        <v>13</v>
      </c>
      <c r="E134" s="3" t="s">
        <v>58</v>
      </c>
      <c r="F134" s="3" t="s">
        <v>59</v>
      </c>
      <c r="G134" s="3">
        <v>23</v>
      </c>
      <c r="H134" s="4">
        <v>2201</v>
      </c>
      <c r="I134" s="4">
        <v>2100</v>
      </c>
      <c r="J134" s="3" t="s">
        <v>39</v>
      </c>
      <c r="K134" s="3" t="s">
        <v>36</v>
      </c>
      <c r="L134">
        <f t="shared" si="15"/>
        <v>2025</v>
      </c>
      <c r="M134">
        <f t="shared" si="12"/>
        <v>11</v>
      </c>
      <c r="N134" t="str">
        <f t="shared" si="13"/>
        <v>Nov</v>
      </c>
      <c r="O134" t="str">
        <f t="shared" si="14"/>
        <v>2025-11</v>
      </c>
      <c r="P134" t="str">
        <f t="shared" si="16"/>
        <v>2025-W46</v>
      </c>
      <c r="Q134" t="str">
        <f t="shared" si="17"/>
        <v>Sat</v>
      </c>
    </row>
    <row r="135" spans="1:17" x14ac:dyDescent="0.3">
      <c r="A135" s="2">
        <v>45977</v>
      </c>
      <c r="B135" s="3" t="s">
        <v>181</v>
      </c>
      <c r="C135" s="3" t="s">
        <v>38</v>
      </c>
      <c r="D135" s="3" t="s">
        <v>26</v>
      </c>
      <c r="E135" s="3" t="s">
        <v>44</v>
      </c>
      <c r="F135" s="3" t="s">
        <v>34</v>
      </c>
      <c r="G135" s="3">
        <v>66</v>
      </c>
      <c r="H135" s="4">
        <v>3495</v>
      </c>
      <c r="I135" s="4">
        <v>3000</v>
      </c>
      <c r="J135" s="3" t="s">
        <v>22</v>
      </c>
      <c r="K135" s="3" t="s">
        <v>17</v>
      </c>
      <c r="L135">
        <f t="shared" si="15"/>
        <v>2025</v>
      </c>
      <c r="M135">
        <f t="shared" si="12"/>
        <v>11</v>
      </c>
      <c r="N135" t="str">
        <f t="shared" si="13"/>
        <v>Nov</v>
      </c>
      <c r="O135" t="str">
        <f t="shared" si="14"/>
        <v>2025-11</v>
      </c>
      <c r="P135" t="str">
        <f t="shared" si="16"/>
        <v>2025-W46</v>
      </c>
      <c r="Q135" t="str">
        <f t="shared" si="17"/>
        <v>Sun</v>
      </c>
    </row>
    <row r="136" spans="1:17" x14ac:dyDescent="0.3">
      <c r="A136" s="2">
        <v>45977</v>
      </c>
      <c r="B136" s="3" t="s">
        <v>182</v>
      </c>
      <c r="C136" s="3" t="s">
        <v>32</v>
      </c>
      <c r="D136" s="3" t="s">
        <v>19</v>
      </c>
      <c r="E136" s="3" t="s">
        <v>33</v>
      </c>
      <c r="F136" s="3" t="s">
        <v>34</v>
      </c>
      <c r="G136" s="3">
        <v>41</v>
      </c>
      <c r="H136" s="4">
        <v>1966</v>
      </c>
      <c r="I136" s="4">
        <v>2000</v>
      </c>
      <c r="J136" s="3" t="s">
        <v>16</v>
      </c>
      <c r="K136" s="3" t="s">
        <v>36</v>
      </c>
      <c r="L136">
        <f t="shared" si="15"/>
        <v>2025</v>
      </c>
      <c r="M136">
        <f t="shared" si="12"/>
        <v>11</v>
      </c>
      <c r="N136" t="str">
        <f t="shared" si="13"/>
        <v>Nov</v>
      </c>
      <c r="O136" t="str">
        <f t="shared" si="14"/>
        <v>2025-11</v>
      </c>
      <c r="P136" t="str">
        <f t="shared" si="16"/>
        <v>2025-W46</v>
      </c>
      <c r="Q136" t="str">
        <f t="shared" si="17"/>
        <v>Sun</v>
      </c>
    </row>
    <row r="137" spans="1:17" x14ac:dyDescent="0.3">
      <c r="A137" s="2">
        <v>45978</v>
      </c>
      <c r="B137" s="3" t="s">
        <v>183</v>
      </c>
      <c r="C137" s="3" t="s">
        <v>12</v>
      </c>
      <c r="D137" s="3" t="s">
        <v>26</v>
      </c>
      <c r="E137" s="3" t="s">
        <v>61</v>
      </c>
      <c r="F137" s="3" t="s">
        <v>59</v>
      </c>
      <c r="G137" s="3">
        <v>50</v>
      </c>
      <c r="H137" s="4">
        <v>5134</v>
      </c>
      <c r="I137" s="4">
        <v>6300</v>
      </c>
      <c r="J137" s="3" t="s">
        <v>22</v>
      </c>
      <c r="K137" s="3" t="s">
        <v>36</v>
      </c>
      <c r="L137">
        <f t="shared" si="15"/>
        <v>2025</v>
      </c>
      <c r="M137">
        <f t="shared" si="12"/>
        <v>11</v>
      </c>
      <c r="N137" t="str">
        <f t="shared" si="13"/>
        <v>Nov</v>
      </c>
      <c r="O137" t="str">
        <f t="shared" si="14"/>
        <v>2025-11</v>
      </c>
      <c r="P137" t="str">
        <f t="shared" si="16"/>
        <v>2025-W47</v>
      </c>
      <c r="Q137" t="str">
        <f t="shared" si="17"/>
        <v>Mon</v>
      </c>
    </row>
    <row r="138" spans="1:17" x14ac:dyDescent="0.3">
      <c r="A138" s="2">
        <v>45978</v>
      </c>
      <c r="B138" s="3" t="s">
        <v>184</v>
      </c>
      <c r="C138" s="3" t="s">
        <v>38</v>
      </c>
      <c r="D138" s="3" t="s">
        <v>65</v>
      </c>
      <c r="E138" s="3" t="s">
        <v>41</v>
      </c>
      <c r="F138" s="3" t="s">
        <v>21</v>
      </c>
      <c r="G138" s="3">
        <v>28</v>
      </c>
      <c r="H138" s="4">
        <v>1003</v>
      </c>
      <c r="I138" s="4">
        <v>900</v>
      </c>
      <c r="J138" s="3" t="s">
        <v>39</v>
      </c>
      <c r="K138" s="3" t="s">
        <v>23</v>
      </c>
      <c r="L138">
        <f t="shared" si="15"/>
        <v>2025</v>
      </c>
      <c r="M138">
        <f t="shared" si="12"/>
        <v>11</v>
      </c>
      <c r="N138" t="str">
        <f t="shared" si="13"/>
        <v>Nov</v>
      </c>
      <c r="O138" t="str">
        <f t="shared" si="14"/>
        <v>2025-11</v>
      </c>
      <c r="P138" t="str">
        <f t="shared" si="16"/>
        <v>2025-W47</v>
      </c>
      <c r="Q138" t="str">
        <f t="shared" si="17"/>
        <v>Mon</v>
      </c>
    </row>
    <row r="139" spans="1:17" x14ac:dyDescent="0.3">
      <c r="A139" s="2">
        <v>45978</v>
      </c>
      <c r="B139" s="3" t="s">
        <v>185</v>
      </c>
      <c r="C139" s="3" t="s">
        <v>43</v>
      </c>
      <c r="D139" s="3" t="s">
        <v>26</v>
      </c>
      <c r="E139" s="3" t="s">
        <v>44</v>
      </c>
      <c r="F139" s="3" t="s">
        <v>34</v>
      </c>
      <c r="G139" s="3">
        <v>55</v>
      </c>
      <c r="H139" s="4">
        <v>2875</v>
      </c>
      <c r="I139" s="4">
        <v>2400</v>
      </c>
      <c r="J139" s="3" t="s">
        <v>22</v>
      </c>
      <c r="K139" s="3" t="s">
        <v>17</v>
      </c>
      <c r="L139">
        <f t="shared" si="15"/>
        <v>2025</v>
      </c>
      <c r="M139">
        <f t="shared" si="12"/>
        <v>11</v>
      </c>
      <c r="N139" t="str">
        <f t="shared" si="13"/>
        <v>Nov</v>
      </c>
      <c r="O139" t="str">
        <f t="shared" si="14"/>
        <v>2025-11</v>
      </c>
      <c r="P139" t="str">
        <f t="shared" si="16"/>
        <v>2025-W47</v>
      </c>
      <c r="Q139" t="str">
        <f t="shared" si="17"/>
        <v>Mon</v>
      </c>
    </row>
    <row r="140" spans="1:17" x14ac:dyDescent="0.3">
      <c r="A140" s="2">
        <v>45979</v>
      </c>
      <c r="B140" s="3" t="s">
        <v>186</v>
      </c>
      <c r="C140" s="3" t="s">
        <v>12</v>
      </c>
      <c r="D140" s="3" t="s">
        <v>26</v>
      </c>
      <c r="E140" s="3" t="s">
        <v>48</v>
      </c>
      <c r="F140" s="3" t="s">
        <v>15</v>
      </c>
      <c r="G140" s="3">
        <v>24</v>
      </c>
      <c r="H140" s="4">
        <v>1116</v>
      </c>
      <c r="I140" s="4">
        <v>1000</v>
      </c>
      <c r="J140" s="3" t="s">
        <v>22</v>
      </c>
      <c r="K140" s="3" t="s">
        <v>36</v>
      </c>
      <c r="L140">
        <f t="shared" si="15"/>
        <v>2025</v>
      </c>
      <c r="M140">
        <f t="shared" si="12"/>
        <v>11</v>
      </c>
      <c r="N140" t="str">
        <f t="shared" si="13"/>
        <v>Nov</v>
      </c>
      <c r="O140" t="str">
        <f t="shared" si="14"/>
        <v>2025-11</v>
      </c>
      <c r="P140" t="str">
        <f t="shared" si="16"/>
        <v>2025-W47</v>
      </c>
      <c r="Q140" t="str">
        <f t="shared" si="17"/>
        <v>Tue</v>
      </c>
    </row>
    <row r="141" spans="1:17" x14ac:dyDescent="0.3">
      <c r="A141" s="2">
        <v>45979</v>
      </c>
      <c r="B141" s="3" t="s">
        <v>187</v>
      </c>
      <c r="C141" s="3" t="s">
        <v>38</v>
      </c>
      <c r="D141" s="3" t="s">
        <v>47</v>
      </c>
      <c r="E141" s="3" t="s">
        <v>20</v>
      </c>
      <c r="F141" s="3" t="s">
        <v>21</v>
      </c>
      <c r="G141" s="3">
        <v>84</v>
      </c>
      <c r="H141" s="4">
        <v>2901</v>
      </c>
      <c r="I141" s="4">
        <v>3000</v>
      </c>
      <c r="J141" s="3" t="s">
        <v>22</v>
      </c>
      <c r="K141" s="3" t="s">
        <v>36</v>
      </c>
      <c r="L141">
        <f t="shared" si="15"/>
        <v>2025</v>
      </c>
      <c r="M141">
        <f t="shared" si="12"/>
        <v>11</v>
      </c>
      <c r="N141" t="str">
        <f t="shared" si="13"/>
        <v>Nov</v>
      </c>
      <c r="O141" t="str">
        <f t="shared" si="14"/>
        <v>2025-11</v>
      </c>
      <c r="P141" t="str">
        <f t="shared" si="16"/>
        <v>2025-W47</v>
      </c>
      <c r="Q141" t="str">
        <f t="shared" si="17"/>
        <v>Tue</v>
      </c>
    </row>
    <row r="142" spans="1:17" x14ac:dyDescent="0.3">
      <c r="A142" s="2">
        <v>45980</v>
      </c>
      <c r="B142" s="3" t="s">
        <v>188</v>
      </c>
      <c r="C142" s="3" t="s">
        <v>50</v>
      </c>
      <c r="D142" s="3" t="s">
        <v>19</v>
      </c>
      <c r="E142" s="3" t="s">
        <v>27</v>
      </c>
      <c r="F142" s="3" t="s">
        <v>15</v>
      </c>
      <c r="G142" s="3">
        <v>115</v>
      </c>
      <c r="H142" s="4">
        <v>6404</v>
      </c>
      <c r="I142" s="4">
        <v>7600</v>
      </c>
      <c r="J142" s="3" t="s">
        <v>22</v>
      </c>
      <c r="K142" s="3" t="s">
        <v>30</v>
      </c>
      <c r="L142">
        <f t="shared" si="15"/>
        <v>2025</v>
      </c>
      <c r="M142">
        <f t="shared" si="12"/>
        <v>11</v>
      </c>
      <c r="N142" t="str">
        <f t="shared" si="13"/>
        <v>Nov</v>
      </c>
      <c r="O142" t="str">
        <f t="shared" si="14"/>
        <v>2025-11</v>
      </c>
      <c r="P142" t="str">
        <f t="shared" si="16"/>
        <v>2025-W47</v>
      </c>
      <c r="Q142" t="str">
        <f t="shared" si="17"/>
        <v>Wed</v>
      </c>
    </row>
    <row r="143" spans="1:17" x14ac:dyDescent="0.3">
      <c r="A143" s="2">
        <v>45980</v>
      </c>
      <c r="B143" s="3" t="s">
        <v>189</v>
      </c>
      <c r="C143" s="3" t="s">
        <v>43</v>
      </c>
      <c r="D143" s="3" t="s">
        <v>26</v>
      </c>
      <c r="E143" s="3" t="s">
        <v>14</v>
      </c>
      <c r="F143" s="3" t="s">
        <v>15</v>
      </c>
      <c r="G143" s="3">
        <v>59</v>
      </c>
      <c r="H143" s="4">
        <v>3260</v>
      </c>
      <c r="I143" s="4">
        <v>2600</v>
      </c>
      <c r="J143" s="3" t="s">
        <v>22</v>
      </c>
      <c r="K143" s="3" t="s">
        <v>36</v>
      </c>
      <c r="L143">
        <f t="shared" si="15"/>
        <v>2025</v>
      </c>
      <c r="M143">
        <f t="shared" si="12"/>
        <v>11</v>
      </c>
      <c r="N143" t="str">
        <f t="shared" si="13"/>
        <v>Nov</v>
      </c>
      <c r="O143" t="str">
        <f t="shared" si="14"/>
        <v>2025-11</v>
      </c>
      <c r="P143" t="str">
        <f t="shared" si="16"/>
        <v>2025-W47</v>
      </c>
      <c r="Q143" t="str">
        <f t="shared" si="17"/>
        <v>Wed</v>
      </c>
    </row>
    <row r="144" spans="1:17" x14ac:dyDescent="0.3">
      <c r="A144" s="2">
        <v>45981</v>
      </c>
      <c r="B144" s="3" t="s">
        <v>190</v>
      </c>
      <c r="C144" s="3" t="s">
        <v>38</v>
      </c>
      <c r="D144" s="3" t="s">
        <v>19</v>
      </c>
      <c r="E144" s="3" t="s">
        <v>61</v>
      </c>
      <c r="F144" s="3" t="s">
        <v>59</v>
      </c>
      <c r="G144" s="3">
        <v>16</v>
      </c>
      <c r="H144" s="4">
        <v>1590</v>
      </c>
      <c r="I144" s="4">
        <v>1700</v>
      </c>
      <c r="J144" s="3" t="s">
        <v>16</v>
      </c>
      <c r="K144" s="3" t="s">
        <v>36</v>
      </c>
      <c r="L144">
        <f t="shared" si="15"/>
        <v>2025</v>
      </c>
      <c r="M144">
        <f t="shared" si="12"/>
        <v>11</v>
      </c>
      <c r="N144" t="str">
        <f t="shared" si="13"/>
        <v>Nov</v>
      </c>
      <c r="O144" t="str">
        <f t="shared" si="14"/>
        <v>2025-11</v>
      </c>
      <c r="P144" t="str">
        <f t="shared" si="16"/>
        <v>2025-W47</v>
      </c>
      <c r="Q144" t="str">
        <f t="shared" si="17"/>
        <v>Thu</v>
      </c>
    </row>
    <row r="145" spans="1:17" x14ac:dyDescent="0.3">
      <c r="A145" s="2">
        <v>45981</v>
      </c>
      <c r="B145" s="3" t="s">
        <v>191</v>
      </c>
      <c r="C145" s="3" t="s">
        <v>50</v>
      </c>
      <c r="D145" s="3" t="s">
        <v>53</v>
      </c>
      <c r="E145" s="3" t="s">
        <v>20</v>
      </c>
      <c r="F145" s="3" t="s">
        <v>21</v>
      </c>
      <c r="G145" s="3">
        <v>102</v>
      </c>
      <c r="H145" s="4">
        <v>3416</v>
      </c>
      <c r="I145" s="4">
        <v>3600</v>
      </c>
      <c r="J145" s="3" t="s">
        <v>22</v>
      </c>
      <c r="K145" s="3" t="s">
        <v>36</v>
      </c>
      <c r="L145">
        <f t="shared" si="15"/>
        <v>2025</v>
      </c>
      <c r="M145">
        <f t="shared" si="12"/>
        <v>11</v>
      </c>
      <c r="N145" t="str">
        <f t="shared" si="13"/>
        <v>Nov</v>
      </c>
      <c r="O145" t="str">
        <f t="shared" si="14"/>
        <v>2025-11</v>
      </c>
      <c r="P145" t="str">
        <f t="shared" si="16"/>
        <v>2025-W47</v>
      </c>
      <c r="Q145" t="str">
        <f t="shared" si="17"/>
        <v>Thu</v>
      </c>
    </row>
    <row r="146" spans="1:17" x14ac:dyDescent="0.3">
      <c r="A146" s="2">
        <v>45982</v>
      </c>
      <c r="B146" s="3" t="s">
        <v>192</v>
      </c>
      <c r="C146" s="3" t="s">
        <v>12</v>
      </c>
      <c r="D146" s="3" t="s">
        <v>47</v>
      </c>
      <c r="E146" s="3" t="s">
        <v>20</v>
      </c>
      <c r="F146" s="3" t="s">
        <v>21</v>
      </c>
      <c r="G146" s="3">
        <v>81</v>
      </c>
      <c r="H146" s="4">
        <v>2966</v>
      </c>
      <c r="I146" s="4">
        <v>3100</v>
      </c>
      <c r="J146" s="3" t="s">
        <v>22</v>
      </c>
      <c r="K146" s="3" t="s">
        <v>17</v>
      </c>
      <c r="L146">
        <f t="shared" si="15"/>
        <v>2025</v>
      </c>
      <c r="M146">
        <f t="shared" si="12"/>
        <v>11</v>
      </c>
      <c r="N146" t="str">
        <f t="shared" si="13"/>
        <v>Nov</v>
      </c>
      <c r="O146" t="str">
        <f t="shared" si="14"/>
        <v>2025-11</v>
      </c>
      <c r="P146" t="str">
        <f t="shared" si="16"/>
        <v>2025-W47</v>
      </c>
      <c r="Q146" t="str">
        <f t="shared" si="17"/>
        <v>Fri</v>
      </c>
    </row>
    <row r="147" spans="1:17" x14ac:dyDescent="0.3">
      <c r="A147" s="2">
        <v>45982</v>
      </c>
      <c r="B147" s="3" t="s">
        <v>193</v>
      </c>
      <c r="C147" s="3" t="s">
        <v>25</v>
      </c>
      <c r="D147" s="3" t="s">
        <v>47</v>
      </c>
      <c r="E147" s="3" t="s">
        <v>58</v>
      </c>
      <c r="F147" s="3" t="s">
        <v>59</v>
      </c>
      <c r="G147" s="3">
        <v>96</v>
      </c>
      <c r="H147" s="4">
        <v>8904</v>
      </c>
      <c r="I147" s="4">
        <v>7700</v>
      </c>
      <c r="J147" s="3" t="s">
        <v>22</v>
      </c>
      <c r="K147" s="3" t="s">
        <v>17</v>
      </c>
      <c r="L147">
        <f t="shared" si="15"/>
        <v>2025</v>
      </c>
      <c r="M147">
        <f t="shared" si="12"/>
        <v>11</v>
      </c>
      <c r="N147" t="str">
        <f t="shared" si="13"/>
        <v>Nov</v>
      </c>
      <c r="O147" t="str">
        <f t="shared" si="14"/>
        <v>2025-11</v>
      </c>
      <c r="P147" t="str">
        <f t="shared" si="16"/>
        <v>2025-W47</v>
      </c>
      <c r="Q147" t="str">
        <f t="shared" si="17"/>
        <v>Fri</v>
      </c>
    </row>
    <row r="148" spans="1:17" x14ac:dyDescent="0.3">
      <c r="A148" s="2">
        <v>45983</v>
      </c>
      <c r="B148" s="3" t="s">
        <v>194</v>
      </c>
      <c r="C148" s="3" t="s">
        <v>91</v>
      </c>
      <c r="D148" s="3" t="s">
        <v>26</v>
      </c>
      <c r="E148" s="3" t="s">
        <v>27</v>
      </c>
      <c r="F148" s="3" t="s">
        <v>15</v>
      </c>
      <c r="G148" s="3">
        <v>118</v>
      </c>
      <c r="H148" s="4">
        <v>5564</v>
      </c>
      <c r="I148" s="4">
        <v>6000</v>
      </c>
      <c r="J148" s="3" t="s">
        <v>22</v>
      </c>
      <c r="K148" s="3" t="s">
        <v>36</v>
      </c>
      <c r="L148">
        <f t="shared" si="15"/>
        <v>2025</v>
      </c>
      <c r="M148">
        <f t="shared" si="12"/>
        <v>11</v>
      </c>
      <c r="N148" t="str">
        <f t="shared" si="13"/>
        <v>Nov</v>
      </c>
      <c r="O148" t="str">
        <f t="shared" si="14"/>
        <v>2025-11</v>
      </c>
      <c r="P148" t="str">
        <f t="shared" si="16"/>
        <v>2025-W47</v>
      </c>
      <c r="Q148" t="str">
        <f t="shared" si="17"/>
        <v>Sat</v>
      </c>
    </row>
    <row r="149" spans="1:17" x14ac:dyDescent="0.3">
      <c r="A149" s="2">
        <v>45984</v>
      </c>
      <c r="B149" s="3" t="s">
        <v>195</v>
      </c>
      <c r="C149" s="3" t="s">
        <v>38</v>
      </c>
      <c r="D149" s="3" t="s">
        <v>26</v>
      </c>
      <c r="E149" s="3" t="s">
        <v>61</v>
      </c>
      <c r="F149" s="3" t="s">
        <v>59</v>
      </c>
      <c r="G149" s="3">
        <v>98</v>
      </c>
      <c r="H149" s="4">
        <v>10508</v>
      </c>
      <c r="I149" s="4">
        <v>12000</v>
      </c>
      <c r="J149" s="3" t="s">
        <v>22</v>
      </c>
      <c r="K149" s="3" t="s">
        <v>17</v>
      </c>
      <c r="L149">
        <f t="shared" si="15"/>
        <v>2025</v>
      </c>
      <c r="M149">
        <f t="shared" si="12"/>
        <v>11</v>
      </c>
      <c r="N149" t="str">
        <f t="shared" si="13"/>
        <v>Nov</v>
      </c>
      <c r="O149" t="str">
        <f t="shared" si="14"/>
        <v>2025-11</v>
      </c>
      <c r="P149" t="str">
        <f t="shared" si="16"/>
        <v>2025-W47</v>
      </c>
      <c r="Q149" t="str">
        <f t="shared" si="17"/>
        <v>Sun</v>
      </c>
    </row>
    <row r="150" spans="1:17" x14ac:dyDescent="0.3">
      <c r="A150" s="2">
        <v>45984</v>
      </c>
      <c r="B150" s="3" t="s">
        <v>196</v>
      </c>
      <c r="C150" s="3" t="s">
        <v>50</v>
      </c>
      <c r="D150" s="3" t="s">
        <v>53</v>
      </c>
      <c r="E150" s="3" t="s">
        <v>68</v>
      </c>
      <c r="F150" s="3" t="s">
        <v>34</v>
      </c>
      <c r="G150" s="3">
        <v>34</v>
      </c>
      <c r="H150" s="4">
        <v>2112</v>
      </c>
      <c r="I150" s="4">
        <v>2400</v>
      </c>
      <c r="J150" s="3" t="s">
        <v>22</v>
      </c>
      <c r="K150" s="3" t="s">
        <v>30</v>
      </c>
      <c r="L150">
        <f t="shared" si="15"/>
        <v>2025</v>
      </c>
      <c r="M150">
        <f t="shared" si="12"/>
        <v>11</v>
      </c>
      <c r="N150" t="str">
        <f t="shared" si="13"/>
        <v>Nov</v>
      </c>
      <c r="O150" t="str">
        <f t="shared" si="14"/>
        <v>2025-11</v>
      </c>
      <c r="P150" t="str">
        <f t="shared" si="16"/>
        <v>2025-W47</v>
      </c>
      <c r="Q150" t="str">
        <f t="shared" si="17"/>
        <v>Sun</v>
      </c>
    </row>
    <row r="151" spans="1:17" x14ac:dyDescent="0.3">
      <c r="A151" s="2">
        <v>45984</v>
      </c>
      <c r="B151" s="3" t="s">
        <v>197</v>
      </c>
      <c r="C151" s="3" t="s">
        <v>43</v>
      </c>
      <c r="D151" s="3" t="s">
        <v>13</v>
      </c>
      <c r="E151" s="3" t="s">
        <v>33</v>
      </c>
      <c r="F151" s="3" t="s">
        <v>34</v>
      </c>
      <c r="G151" s="3">
        <v>65</v>
      </c>
      <c r="H151" s="4">
        <v>3395</v>
      </c>
      <c r="I151" s="4">
        <v>3800</v>
      </c>
      <c r="J151" s="3" t="s">
        <v>22</v>
      </c>
      <c r="K151" s="3" t="s">
        <v>23</v>
      </c>
      <c r="L151">
        <f t="shared" si="15"/>
        <v>2025</v>
      </c>
      <c r="M151">
        <f t="shared" si="12"/>
        <v>11</v>
      </c>
      <c r="N151" t="str">
        <f t="shared" si="13"/>
        <v>Nov</v>
      </c>
      <c r="O151" t="str">
        <f t="shared" si="14"/>
        <v>2025-11</v>
      </c>
      <c r="P151" t="str">
        <f t="shared" si="16"/>
        <v>2025-W47</v>
      </c>
      <c r="Q151" t="str">
        <f t="shared" si="17"/>
        <v>Sun</v>
      </c>
    </row>
    <row r="152" spans="1:17" x14ac:dyDescent="0.3">
      <c r="A152" s="2">
        <v>45985</v>
      </c>
      <c r="B152" s="3" t="s">
        <v>198</v>
      </c>
      <c r="C152" s="3" t="s">
        <v>25</v>
      </c>
      <c r="D152" s="3" t="s">
        <v>65</v>
      </c>
      <c r="E152" s="3" t="s">
        <v>123</v>
      </c>
      <c r="F152" s="3" t="s">
        <v>59</v>
      </c>
      <c r="G152" s="3">
        <v>40</v>
      </c>
      <c r="H152" s="4">
        <v>3319</v>
      </c>
      <c r="I152" s="4">
        <v>3000</v>
      </c>
      <c r="J152" s="3" t="s">
        <v>39</v>
      </c>
      <c r="K152" s="3" t="s">
        <v>23</v>
      </c>
      <c r="L152">
        <f t="shared" si="15"/>
        <v>2025</v>
      </c>
      <c r="M152">
        <f t="shared" si="12"/>
        <v>11</v>
      </c>
      <c r="N152" t="str">
        <f t="shared" si="13"/>
        <v>Nov</v>
      </c>
      <c r="O152" t="str">
        <f t="shared" si="14"/>
        <v>2025-11</v>
      </c>
      <c r="P152" t="str">
        <f t="shared" si="16"/>
        <v>2025-W48</v>
      </c>
      <c r="Q152" t="str">
        <f t="shared" si="17"/>
        <v>Mon</v>
      </c>
    </row>
    <row r="153" spans="1:17" x14ac:dyDescent="0.3">
      <c r="A153" s="2">
        <v>45985</v>
      </c>
      <c r="B153" s="3" t="s">
        <v>199</v>
      </c>
      <c r="C153" s="3" t="s">
        <v>57</v>
      </c>
      <c r="D153" s="3" t="s">
        <v>53</v>
      </c>
      <c r="E153" s="3" t="s">
        <v>27</v>
      </c>
      <c r="F153" s="3" t="s">
        <v>15</v>
      </c>
      <c r="G153" s="3">
        <v>63</v>
      </c>
      <c r="H153" s="4">
        <v>2804</v>
      </c>
      <c r="I153" s="4">
        <v>3100</v>
      </c>
      <c r="J153" s="3" t="s">
        <v>16</v>
      </c>
      <c r="K153" s="3" t="s">
        <v>17</v>
      </c>
      <c r="L153">
        <f t="shared" si="15"/>
        <v>2025</v>
      </c>
      <c r="M153">
        <f t="shared" si="12"/>
        <v>11</v>
      </c>
      <c r="N153" t="str">
        <f t="shared" si="13"/>
        <v>Nov</v>
      </c>
      <c r="O153" t="str">
        <f t="shared" si="14"/>
        <v>2025-11</v>
      </c>
      <c r="P153" t="str">
        <f t="shared" si="16"/>
        <v>2025-W48</v>
      </c>
      <c r="Q153" t="str">
        <f t="shared" si="17"/>
        <v>Mon</v>
      </c>
    </row>
    <row r="154" spans="1:17" x14ac:dyDescent="0.3">
      <c r="A154" s="2">
        <v>45985</v>
      </c>
      <c r="B154" s="3" t="s">
        <v>200</v>
      </c>
      <c r="C154" s="3" t="s">
        <v>50</v>
      </c>
      <c r="D154" s="3" t="s">
        <v>26</v>
      </c>
      <c r="E154" s="3" t="s">
        <v>29</v>
      </c>
      <c r="F154" s="3" t="s">
        <v>21</v>
      </c>
      <c r="G154" s="3">
        <v>115</v>
      </c>
      <c r="H154" s="4">
        <v>3736</v>
      </c>
      <c r="I154" s="4">
        <v>4500</v>
      </c>
      <c r="J154" s="3" t="s">
        <v>22</v>
      </c>
      <c r="K154" s="3" t="s">
        <v>36</v>
      </c>
      <c r="L154">
        <f t="shared" si="15"/>
        <v>2025</v>
      </c>
      <c r="M154">
        <f t="shared" si="12"/>
        <v>11</v>
      </c>
      <c r="N154" t="str">
        <f t="shared" si="13"/>
        <v>Nov</v>
      </c>
      <c r="O154" t="str">
        <f t="shared" si="14"/>
        <v>2025-11</v>
      </c>
      <c r="P154" t="str">
        <f t="shared" si="16"/>
        <v>2025-W48</v>
      </c>
      <c r="Q154" t="str">
        <f t="shared" si="17"/>
        <v>Mon</v>
      </c>
    </row>
    <row r="155" spans="1:17" x14ac:dyDescent="0.3">
      <c r="A155" s="2">
        <v>45985</v>
      </c>
      <c r="B155" s="3" t="s">
        <v>201</v>
      </c>
      <c r="C155" s="3" t="s">
        <v>12</v>
      </c>
      <c r="D155" s="3" t="s">
        <v>65</v>
      </c>
      <c r="E155" s="3" t="s">
        <v>48</v>
      </c>
      <c r="F155" s="3" t="s">
        <v>15</v>
      </c>
      <c r="G155" s="3">
        <v>64</v>
      </c>
      <c r="H155" s="4">
        <v>3155</v>
      </c>
      <c r="I155" s="4">
        <v>2700</v>
      </c>
      <c r="J155" s="3" t="s">
        <v>22</v>
      </c>
      <c r="K155" s="3" t="s">
        <v>36</v>
      </c>
      <c r="L155">
        <f t="shared" si="15"/>
        <v>2025</v>
      </c>
      <c r="M155">
        <f t="shared" si="12"/>
        <v>11</v>
      </c>
      <c r="N155" t="str">
        <f t="shared" si="13"/>
        <v>Nov</v>
      </c>
      <c r="O155" t="str">
        <f t="shared" si="14"/>
        <v>2025-11</v>
      </c>
      <c r="P155" t="str">
        <f t="shared" si="16"/>
        <v>2025-W48</v>
      </c>
      <c r="Q155" t="str">
        <f t="shared" si="17"/>
        <v>Mon</v>
      </c>
    </row>
    <row r="156" spans="1:17" x14ac:dyDescent="0.3">
      <c r="A156" s="2">
        <v>45986</v>
      </c>
      <c r="B156" s="3" t="s">
        <v>202</v>
      </c>
      <c r="C156" s="3" t="s">
        <v>38</v>
      </c>
      <c r="D156" s="3" t="s">
        <v>47</v>
      </c>
      <c r="E156" s="3" t="s">
        <v>48</v>
      </c>
      <c r="F156" s="3" t="s">
        <v>15</v>
      </c>
      <c r="G156" s="3">
        <v>30</v>
      </c>
      <c r="H156" s="4">
        <v>1310</v>
      </c>
      <c r="I156" s="4">
        <v>1500</v>
      </c>
      <c r="J156" s="3" t="s">
        <v>22</v>
      </c>
      <c r="K156" s="3" t="s">
        <v>17</v>
      </c>
      <c r="L156">
        <f t="shared" si="15"/>
        <v>2025</v>
      </c>
      <c r="M156">
        <f t="shared" si="12"/>
        <v>11</v>
      </c>
      <c r="N156" t="str">
        <f t="shared" si="13"/>
        <v>Nov</v>
      </c>
      <c r="O156" t="str">
        <f t="shared" si="14"/>
        <v>2025-11</v>
      </c>
      <c r="P156" t="str">
        <f t="shared" si="16"/>
        <v>2025-W48</v>
      </c>
      <c r="Q156" t="str">
        <f t="shared" si="17"/>
        <v>Tue</v>
      </c>
    </row>
    <row r="157" spans="1:17" x14ac:dyDescent="0.3">
      <c r="A157" s="2">
        <v>45986</v>
      </c>
      <c r="B157" s="3" t="s">
        <v>203</v>
      </c>
      <c r="C157" s="3" t="s">
        <v>38</v>
      </c>
      <c r="D157" s="3" t="s">
        <v>19</v>
      </c>
      <c r="E157" s="3" t="s">
        <v>14</v>
      </c>
      <c r="F157" s="3" t="s">
        <v>15</v>
      </c>
      <c r="G157" s="3">
        <v>9</v>
      </c>
      <c r="H157" s="4">
        <v>497</v>
      </c>
      <c r="I157" s="4">
        <v>400</v>
      </c>
      <c r="J157" s="3" t="s">
        <v>22</v>
      </c>
      <c r="K157" s="3" t="s">
        <v>30</v>
      </c>
      <c r="L157">
        <f t="shared" si="15"/>
        <v>2025</v>
      </c>
      <c r="M157">
        <f t="shared" si="12"/>
        <v>11</v>
      </c>
      <c r="N157" t="str">
        <f t="shared" si="13"/>
        <v>Nov</v>
      </c>
      <c r="O157" t="str">
        <f t="shared" si="14"/>
        <v>2025-11</v>
      </c>
      <c r="P157" t="str">
        <f t="shared" si="16"/>
        <v>2025-W48</v>
      </c>
      <c r="Q157" t="str">
        <f t="shared" si="17"/>
        <v>Tue</v>
      </c>
    </row>
    <row r="158" spans="1:17" x14ac:dyDescent="0.3">
      <c r="A158" s="2">
        <v>45987</v>
      </c>
      <c r="B158" s="3" t="s">
        <v>204</v>
      </c>
      <c r="C158" s="3" t="s">
        <v>25</v>
      </c>
      <c r="D158" s="3" t="s">
        <v>65</v>
      </c>
      <c r="E158" s="3" t="s">
        <v>44</v>
      </c>
      <c r="F158" s="3" t="s">
        <v>34</v>
      </c>
      <c r="G158" s="3">
        <v>13</v>
      </c>
      <c r="H158" s="4">
        <v>707</v>
      </c>
      <c r="I158" s="4">
        <v>600</v>
      </c>
      <c r="J158" s="3" t="s">
        <v>39</v>
      </c>
      <c r="K158" s="3" t="s">
        <v>17</v>
      </c>
      <c r="L158">
        <f t="shared" si="15"/>
        <v>2025</v>
      </c>
      <c r="M158">
        <f t="shared" si="12"/>
        <v>11</v>
      </c>
      <c r="N158" t="str">
        <f t="shared" si="13"/>
        <v>Nov</v>
      </c>
      <c r="O158" t="str">
        <f t="shared" si="14"/>
        <v>2025-11</v>
      </c>
      <c r="P158" t="str">
        <f t="shared" si="16"/>
        <v>2025-W48</v>
      </c>
      <c r="Q158" t="str">
        <f t="shared" si="17"/>
        <v>Wed</v>
      </c>
    </row>
    <row r="159" spans="1:17" x14ac:dyDescent="0.3">
      <c r="A159" s="2">
        <v>45987</v>
      </c>
      <c r="B159" s="3" t="s">
        <v>205</v>
      </c>
      <c r="C159" s="3" t="s">
        <v>12</v>
      </c>
      <c r="D159" s="3" t="s">
        <v>26</v>
      </c>
      <c r="E159" s="3" t="s">
        <v>58</v>
      </c>
      <c r="F159" s="3" t="s">
        <v>59</v>
      </c>
      <c r="G159" s="3">
        <v>92</v>
      </c>
      <c r="H159" s="4">
        <v>7651</v>
      </c>
      <c r="I159" s="4">
        <v>8500</v>
      </c>
      <c r="J159" s="3" t="s">
        <v>22</v>
      </c>
      <c r="K159" s="3" t="s">
        <v>30</v>
      </c>
      <c r="L159">
        <f t="shared" si="15"/>
        <v>2025</v>
      </c>
      <c r="M159">
        <f t="shared" si="12"/>
        <v>11</v>
      </c>
      <c r="N159" t="str">
        <f t="shared" si="13"/>
        <v>Nov</v>
      </c>
      <c r="O159" t="str">
        <f t="shared" si="14"/>
        <v>2025-11</v>
      </c>
      <c r="P159" t="str">
        <f t="shared" si="16"/>
        <v>2025-W48</v>
      </c>
      <c r="Q159" t="str">
        <f t="shared" si="17"/>
        <v>Wed</v>
      </c>
    </row>
    <row r="160" spans="1:17" x14ac:dyDescent="0.3">
      <c r="A160" s="2">
        <v>45987</v>
      </c>
      <c r="B160" s="3" t="s">
        <v>206</v>
      </c>
      <c r="C160" s="3" t="s">
        <v>32</v>
      </c>
      <c r="D160" s="3" t="s">
        <v>19</v>
      </c>
      <c r="E160" s="3" t="s">
        <v>29</v>
      </c>
      <c r="F160" s="3" t="s">
        <v>21</v>
      </c>
      <c r="G160" s="3">
        <v>88</v>
      </c>
      <c r="H160" s="4">
        <v>2717</v>
      </c>
      <c r="I160" s="4">
        <v>2600</v>
      </c>
      <c r="J160" s="3" t="s">
        <v>22</v>
      </c>
      <c r="K160" s="3" t="s">
        <v>30</v>
      </c>
      <c r="L160">
        <f t="shared" si="15"/>
        <v>2025</v>
      </c>
      <c r="M160">
        <f t="shared" si="12"/>
        <v>11</v>
      </c>
      <c r="N160" t="str">
        <f t="shared" si="13"/>
        <v>Nov</v>
      </c>
      <c r="O160" t="str">
        <f t="shared" si="14"/>
        <v>2025-11</v>
      </c>
      <c r="P160" t="str">
        <f t="shared" si="16"/>
        <v>2025-W48</v>
      </c>
      <c r="Q160" t="str">
        <f t="shared" si="17"/>
        <v>Wed</v>
      </c>
    </row>
    <row r="161" spans="1:17" x14ac:dyDescent="0.3">
      <c r="A161" s="2">
        <v>45987</v>
      </c>
      <c r="B161" s="3" t="s">
        <v>207</v>
      </c>
      <c r="C161" s="3" t="s">
        <v>57</v>
      </c>
      <c r="D161" s="3" t="s">
        <v>19</v>
      </c>
      <c r="E161" s="3" t="s">
        <v>61</v>
      </c>
      <c r="F161" s="3" t="s">
        <v>59</v>
      </c>
      <c r="G161" s="3">
        <v>31</v>
      </c>
      <c r="H161" s="4">
        <v>2960</v>
      </c>
      <c r="I161" s="4">
        <v>2700</v>
      </c>
      <c r="J161" s="3" t="s">
        <v>22</v>
      </c>
      <c r="K161" s="3" t="s">
        <v>30</v>
      </c>
      <c r="L161">
        <f t="shared" si="15"/>
        <v>2025</v>
      </c>
      <c r="M161">
        <f t="shared" si="12"/>
        <v>11</v>
      </c>
      <c r="N161" t="str">
        <f t="shared" si="13"/>
        <v>Nov</v>
      </c>
      <c r="O161" t="str">
        <f t="shared" si="14"/>
        <v>2025-11</v>
      </c>
      <c r="P161" t="str">
        <f t="shared" si="16"/>
        <v>2025-W48</v>
      </c>
      <c r="Q161" t="str">
        <f t="shared" si="17"/>
        <v>Wed</v>
      </c>
    </row>
    <row r="162" spans="1:17" x14ac:dyDescent="0.3">
      <c r="A162" s="2">
        <v>45988</v>
      </c>
      <c r="B162" s="3" t="s">
        <v>208</v>
      </c>
      <c r="C162" s="3" t="s">
        <v>32</v>
      </c>
      <c r="D162" s="3" t="s">
        <v>65</v>
      </c>
      <c r="E162" s="3" t="s">
        <v>14</v>
      </c>
      <c r="F162" s="3" t="s">
        <v>15</v>
      </c>
      <c r="G162" s="3">
        <v>92</v>
      </c>
      <c r="H162" s="4">
        <v>4722</v>
      </c>
      <c r="I162" s="4">
        <v>5600</v>
      </c>
      <c r="J162" s="3" t="s">
        <v>22</v>
      </c>
      <c r="K162" s="3" t="s">
        <v>30</v>
      </c>
      <c r="L162">
        <f t="shared" si="15"/>
        <v>2025</v>
      </c>
      <c r="M162">
        <f t="shared" si="12"/>
        <v>11</v>
      </c>
      <c r="N162" t="str">
        <f t="shared" si="13"/>
        <v>Nov</v>
      </c>
      <c r="O162" t="str">
        <f t="shared" si="14"/>
        <v>2025-11</v>
      </c>
      <c r="P162" t="str">
        <f t="shared" si="16"/>
        <v>2025-W48</v>
      </c>
      <c r="Q162" t="str">
        <f t="shared" si="17"/>
        <v>Thu</v>
      </c>
    </row>
    <row r="163" spans="1:17" x14ac:dyDescent="0.3">
      <c r="A163" s="2">
        <v>45988</v>
      </c>
      <c r="B163" s="3" t="s">
        <v>209</v>
      </c>
      <c r="C163" s="3" t="s">
        <v>43</v>
      </c>
      <c r="D163" s="3" t="s">
        <v>53</v>
      </c>
      <c r="E163" s="3" t="s">
        <v>58</v>
      </c>
      <c r="F163" s="3" t="s">
        <v>59</v>
      </c>
      <c r="G163" s="3">
        <v>58</v>
      </c>
      <c r="H163" s="4">
        <v>6151</v>
      </c>
      <c r="I163" s="4">
        <v>6400</v>
      </c>
      <c r="J163" s="3" t="s">
        <v>22</v>
      </c>
      <c r="K163" s="3" t="s">
        <v>30</v>
      </c>
      <c r="L163">
        <f t="shared" si="15"/>
        <v>2025</v>
      </c>
      <c r="M163">
        <f t="shared" si="12"/>
        <v>11</v>
      </c>
      <c r="N163" t="str">
        <f t="shared" si="13"/>
        <v>Nov</v>
      </c>
      <c r="O163" t="str">
        <f t="shared" si="14"/>
        <v>2025-11</v>
      </c>
      <c r="P163" t="str">
        <f t="shared" si="16"/>
        <v>2025-W48</v>
      </c>
      <c r="Q163" t="str">
        <f t="shared" si="17"/>
        <v>Thu</v>
      </c>
    </row>
    <row r="164" spans="1:17" x14ac:dyDescent="0.3">
      <c r="A164" s="2">
        <v>45989</v>
      </c>
      <c r="B164" s="3" t="s">
        <v>210</v>
      </c>
      <c r="C164" s="3" t="s">
        <v>50</v>
      </c>
      <c r="D164" s="3" t="s">
        <v>26</v>
      </c>
      <c r="E164" s="3" t="s">
        <v>14</v>
      </c>
      <c r="F164" s="3" t="s">
        <v>15</v>
      </c>
      <c r="G164" s="3">
        <v>74</v>
      </c>
      <c r="H164" s="4">
        <v>3293</v>
      </c>
      <c r="I164" s="4">
        <v>3300</v>
      </c>
      <c r="J164" s="3" t="s">
        <v>39</v>
      </c>
      <c r="K164" s="3" t="s">
        <v>30</v>
      </c>
      <c r="L164">
        <f t="shared" si="15"/>
        <v>2025</v>
      </c>
      <c r="M164">
        <f t="shared" si="12"/>
        <v>11</v>
      </c>
      <c r="N164" t="str">
        <f t="shared" si="13"/>
        <v>Nov</v>
      </c>
      <c r="O164" t="str">
        <f t="shared" si="14"/>
        <v>2025-11</v>
      </c>
      <c r="P164" t="str">
        <f t="shared" si="16"/>
        <v>2025-W48</v>
      </c>
      <c r="Q164" t="str">
        <f t="shared" si="17"/>
        <v>Fri</v>
      </c>
    </row>
    <row r="165" spans="1:17" x14ac:dyDescent="0.3">
      <c r="A165" s="2">
        <v>45989</v>
      </c>
      <c r="B165" s="3" t="s">
        <v>211</v>
      </c>
      <c r="C165" s="3" t="s">
        <v>38</v>
      </c>
      <c r="D165" s="3" t="s">
        <v>65</v>
      </c>
      <c r="E165" s="3" t="s">
        <v>48</v>
      </c>
      <c r="F165" s="3" t="s">
        <v>15</v>
      </c>
      <c r="G165" s="3">
        <v>68</v>
      </c>
      <c r="H165" s="4">
        <v>3044</v>
      </c>
      <c r="I165" s="4">
        <v>3500</v>
      </c>
      <c r="J165" s="3" t="s">
        <v>22</v>
      </c>
      <c r="K165" s="3" t="s">
        <v>36</v>
      </c>
      <c r="L165">
        <f t="shared" si="15"/>
        <v>2025</v>
      </c>
      <c r="M165">
        <f t="shared" si="12"/>
        <v>11</v>
      </c>
      <c r="N165" t="str">
        <f t="shared" si="13"/>
        <v>Nov</v>
      </c>
      <c r="O165" t="str">
        <f t="shared" si="14"/>
        <v>2025-11</v>
      </c>
      <c r="P165" t="str">
        <f t="shared" si="16"/>
        <v>2025-W48</v>
      </c>
      <c r="Q165" t="str">
        <f t="shared" si="17"/>
        <v>Fri</v>
      </c>
    </row>
    <row r="166" spans="1:17" x14ac:dyDescent="0.3">
      <c r="A166" s="2">
        <v>45989</v>
      </c>
      <c r="B166" s="3" t="s">
        <v>212</v>
      </c>
      <c r="C166" s="3" t="s">
        <v>25</v>
      </c>
      <c r="D166" s="3" t="s">
        <v>26</v>
      </c>
      <c r="E166" s="3" t="s">
        <v>58</v>
      </c>
      <c r="F166" s="3" t="s">
        <v>59</v>
      </c>
      <c r="G166" s="3">
        <v>108</v>
      </c>
      <c r="H166" s="4">
        <v>8520</v>
      </c>
      <c r="I166" s="4">
        <v>9500</v>
      </c>
      <c r="J166" s="3" t="s">
        <v>16</v>
      </c>
      <c r="K166" s="3" t="s">
        <v>30</v>
      </c>
      <c r="L166">
        <f t="shared" si="15"/>
        <v>2025</v>
      </c>
      <c r="M166">
        <f t="shared" si="12"/>
        <v>11</v>
      </c>
      <c r="N166" t="str">
        <f t="shared" si="13"/>
        <v>Nov</v>
      </c>
      <c r="O166" t="str">
        <f t="shared" si="14"/>
        <v>2025-11</v>
      </c>
      <c r="P166" t="str">
        <f t="shared" si="16"/>
        <v>2025-W48</v>
      </c>
      <c r="Q166" t="str">
        <f t="shared" si="17"/>
        <v>Fri</v>
      </c>
    </row>
    <row r="167" spans="1:17" x14ac:dyDescent="0.3">
      <c r="A167" s="2">
        <v>45990</v>
      </c>
      <c r="B167" s="3" t="s">
        <v>213</v>
      </c>
      <c r="C167" s="3" t="s">
        <v>57</v>
      </c>
      <c r="D167" s="3" t="s">
        <v>26</v>
      </c>
      <c r="E167" s="3" t="s">
        <v>48</v>
      </c>
      <c r="F167" s="3" t="s">
        <v>15</v>
      </c>
      <c r="G167" s="3">
        <v>75</v>
      </c>
      <c r="H167" s="4">
        <v>4347</v>
      </c>
      <c r="I167" s="4">
        <v>4500</v>
      </c>
      <c r="J167" s="3" t="s">
        <v>22</v>
      </c>
      <c r="K167" s="3" t="s">
        <v>17</v>
      </c>
      <c r="L167">
        <f t="shared" si="15"/>
        <v>2025</v>
      </c>
      <c r="M167">
        <f t="shared" si="12"/>
        <v>11</v>
      </c>
      <c r="N167" t="str">
        <f t="shared" si="13"/>
        <v>Nov</v>
      </c>
      <c r="O167" t="str">
        <f t="shared" si="14"/>
        <v>2025-11</v>
      </c>
      <c r="P167" t="str">
        <f t="shared" si="16"/>
        <v>2025-W48</v>
      </c>
      <c r="Q167" t="str">
        <f t="shared" si="17"/>
        <v>Sat</v>
      </c>
    </row>
    <row r="168" spans="1:17" x14ac:dyDescent="0.3">
      <c r="A168" s="2">
        <v>45990</v>
      </c>
      <c r="B168" s="3" t="s">
        <v>214</v>
      </c>
      <c r="C168" s="3" t="s">
        <v>38</v>
      </c>
      <c r="D168" s="3" t="s">
        <v>19</v>
      </c>
      <c r="E168" s="3" t="s">
        <v>44</v>
      </c>
      <c r="F168" s="3" t="s">
        <v>34</v>
      </c>
      <c r="G168" s="3">
        <v>13</v>
      </c>
      <c r="H168" s="4">
        <v>676</v>
      </c>
      <c r="I168" s="4">
        <v>600</v>
      </c>
      <c r="J168" s="3" t="s">
        <v>22</v>
      </c>
      <c r="K168" s="3" t="s">
        <v>17</v>
      </c>
      <c r="L168">
        <f t="shared" si="15"/>
        <v>2025</v>
      </c>
      <c r="M168">
        <f t="shared" si="12"/>
        <v>11</v>
      </c>
      <c r="N168" t="str">
        <f t="shared" si="13"/>
        <v>Nov</v>
      </c>
      <c r="O168" t="str">
        <f t="shared" si="14"/>
        <v>2025-11</v>
      </c>
      <c r="P168" t="str">
        <f t="shared" si="16"/>
        <v>2025-W48</v>
      </c>
      <c r="Q168" t="str">
        <f t="shared" si="17"/>
        <v>Sat</v>
      </c>
    </row>
    <row r="169" spans="1:17" x14ac:dyDescent="0.3">
      <c r="A169" s="2">
        <v>45990</v>
      </c>
      <c r="B169" s="3" t="s">
        <v>215</v>
      </c>
      <c r="C169" s="3" t="s">
        <v>38</v>
      </c>
      <c r="D169" s="3" t="s">
        <v>26</v>
      </c>
      <c r="E169" s="3" t="s">
        <v>48</v>
      </c>
      <c r="F169" s="3" t="s">
        <v>15</v>
      </c>
      <c r="G169" s="3">
        <v>82</v>
      </c>
      <c r="H169" s="4">
        <v>4594</v>
      </c>
      <c r="I169" s="4">
        <v>5500</v>
      </c>
      <c r="J169" s="3" t="s">
        <v>22</v>
      </c>
      <c r="K169" s="3" t="s">
        <v>36</v>
      </c>
      <c r="L169">
        <f t="shared" si="15"/>
        <v>2025</v>
      </c>
      <c r="M169">
        <f t="shared" si="12"/>
        <v>11</v>
      </c>
      <c r="N169" t="str">
        <f t="shared" si="13"/>
        <v>Nov</v>
      </c>
      <c r="O169" t="str">
        <f t="shared" si="14"/>
        <v>2025-11</v>
      </c>
      <c r="P169" t="str">
        <f t="shared" si="16"/>
        <v>2025-W48</v>
      </c>
      <c r="Q169" t="str">
        <f t="shared" si="17"/>
        <v>Sat</v>
      </c>
    </row>
    <row r="170" spans="1:17" x14ac:dyDescent="0.3">
      <c r="A170" s="2">
        <v>45990</v>
      </c>
      <c r="B170" s="3" t="s">
        <v>216</v>
      </c>
      <c r="C170" s="3" t="s">
        <v>38</v>
      </c>
      <c r="D170" s="3" t="s">
        <v>19</v>
      </c>
      <c r="E170" s="3" t="s">
        <v>14</v>
      </c>
      <c r="F170" s="3" t="s">
        <v>15</v>
      </c>
      <c r="G170" s="3">
        <v>115</v>
      </c>
      <c r="H170" s="4">
        <v>6169</v>
      </c>
      <c r="I170" s="4">
        <v>6900</v>
      </c>
      <c r="J170" s="3" t="s">
        <v>22</v>
      </c>
      <c r="K170" s="3" t="s">
        <v>30</v>
      </c>
      <c r="L170">
        <f t="shared" si="15"/>
        <v>2025</v>
      </c>
      <c r="M170">
        <f t="shared" si="12"/>
        <v>11</v>
      </c>
      <c r="N170" t="str">
        <f t="shared" si="13"/>
        <v>Nov</v>
      </c>
      <c r="O170" t="str">
        <f t="shared" si="14"/>
        <v>2025-11</v>
      </c>
      <c r="P170" t="str">
        <f t="shared" si="16"/>
        <v>2025-W48</v>
      </c>
      <c r="Q170" t="str">
        <f t="shared" si="17"/>
        <v>Sat</v>
      </c>
    </row>
    <row r="171" spans="1:17" x14ac:dyDescent="0.3">
      <c r="A171" s="2">
        <v>45990</v>
      </c>
      <c r="B171" s="3" t="s">
        <v>217</v>
      </c>
      <c r="C171" s="3" t="s">
        <v>32</v>
      </c>
      <c r="D171" s="3" t="s">
        <v>26</v>
      </c>
      <c r="E171" s="3" t="s">
        <v>27</v>
      </c>
      <c r="F171" s="3" t="s">
        <v>15</v>
      </c>
      <c r="G171" s="3">
        <v>67</v>
      </c>
      <c r="H171" s="4">
        <v>3571</v>
      </c>
      <c r="I171" s="4">
        <v>3100</v>
      </c>
      <c r="J171" s="3" t="s">
        <v>22</v>
      </c>
      <c r="K171" s="3" t="s">
        <v>30</v>
      </c>
      <c r="L171">
        <f t="shared" si="15"/>
        <v>2025</v>
      </c>
      <c r="M171">
        <f t="shared" si="12"/>
        <v>11</v>
      </c>
      <c r="N171" t="str">
        <f t="shared" si="13"/>
        <v>Nov</v>
      </c>
      <c r="O171" t="str">
        <f t="shared" si="14"/>
        <v>2025-11</v>
      </c>
      <c r="P171" t="str">
        <f t="shared" si="16"/>
        <v>2025-W48</v>
      </c>
      <c r="Q171" t="str">
        <f t="shared" si="17"/>
        <v>Sat</v>
      </c>
    </row>
    <row r="172" spans="1:17" x14ac:dyDescent="0.3">
      <c r="A172" s="2">
        <v>45990</v>
      </c>
      <c r="B172" s="3" t="s">
        <v>218</v>
      </c>
      <c r="C172" s="3" t="s">
        <v>50</v>
      </c>
      <c r="D172" s="3" t="s">
        <v>19</v>
      </c>
      <c r="E172" s="3" t="s">
        <v>14</v>
      </c>
      <c r="F172" s="3" t="s">
        <v>15</v>
      </c>
      <c r="G172" s="3">
        <v>27</v>
      </c>
      <c r="H172" s="4">
        <v>1542</v>
      </c>
      <c r="I172" s="4">
        <v>1200</v>
      </c>
      <c r="J172" s="3" t="s">
        <v>22</v>
      </c>
      <c r="K172" s="3" t="s">
        <v>23</v>
      </c>
      <c r="L172">
        <f t="shared" si="15"/>
        <v>2025</v>
      </c>
      <c r="M172">
        <f t="shared" si="12"/>
        <v>11</v>
      </c>
      <c r="N172" t="str">
        <f t="shared" si="13"/>
        <v>Nov</v>
      </c>
      <c r="O172" t="str">
        <f t="shared" si="14"/>
        <v>2025-11</v>
      </c>
      <c r="P172" t="str">
        <f t="shared" si="16"/>
        <v>2025-W48</v>
      </c>
      <c r="Q172" t="str">
        <f t="shared" si="17"/>
        <v>Sat</v>
      </c>
    </row>
    <row r="173" spans="1:17" x14ac:dyDescent="0.3">
      <c r="A173" s="2">
        <v>45991</v>
      </c>
      <c r="B173" s="3" t="s">
        <v>219</v>
      </c>
      <c r="C173" s="3" t="s">
        <v>38</v>
      </c>
      <c r="D173" s="3" t="s">
        <v>47</v>
      </c>
      <c r="E173" s="3" t="s">
        <v>48</v>
      </c>
      <c r="F173" s="3" t="s">
        <v>15</v>
      </c>
      <c r="G173" s="3">
        <v>28</v>
      </c>
      <c r="H173" s="4">
        <v>1635</v>
      </c>
      <c r="I173" s="4">
        <v>1900</v>
      </c>
      <c r="J173" s="3" t="s">
        <v>22</v>
      </c>
      <c r="K173" s="3" t="s">
        <v>30</v>
      </c>
      <c r="L173">
        <f t="shared" si="15"/>
        <v>2025</v>
      </c>
      <c r="M173">
        <f t="shared" si="12"/>
        <v>11</v>
      </c>
      <c r="N173" t="str">
        <f t="shared" si="13"/>
        <v>Nov</v>
      </c>
      <c r="O173" t="str">
        <f t="shared" si="14"/>
        <v>2025-11</v>
      </c>
      <c r="P173" t="str">
        <f t="shared" si="16"/>
        <v>2025-W48</v>
      </c>
      <c r="Q173" t="str">
        <f t="shared" si="17"/>
        <v>Sun</v>
      </c>
    </row>
    <row r="174" spans="1:17" x14ac:dyDescent="0.3">
      <c r="A174" s="2">
        <v>45992</v>
      </c>
      <c r="B174" s="3" t="s">
        <v>220</v>
      </c>
      <c r="C174" s="3" t="s">
        <v>12</v>
      </c>
      <c r="D174" s="3" t="s">
        <v>26</v>
      </c>
      <c r="E174" s="3" t="s">
        <v>14</v>
      </c>
      <c r="F174" s="3" t="s">
        <v>15</v>
      </c>
      <c r="G174" s="3">
        <v>81</v>
      </c>
      <c r="H174" s="4">
        <v>3939</v>
      </c>
      <c r="I174" s="4">
        <v>3800</v>
      </c>
      <c r="J174" s="3" t="s">
        <v>22</v>
      </c>
      <c r="K174" s="3" t="s">
        <v>23</v>
      </c>
      <c r="L174">
        <f t="shared" si="15"/>
        <v>2025</v>
      </c>
      <c r="M174">
        <f t="shared" si="12"/>
        <v>12</v>
      </c>
      <c r="N174" t="str">
        <f t="shared" si="13"/>
        <v>Dec</v>
      </c>
      <c r="O174" t="str">
        <f t="shared" si="14"/>
        <v>2025-12</v>
      </c>
      <c r="P174" t="str">
        <f t="shared" si="16"/>
        <v>2025-W49</v>
      </c>
      <c r="Q174" t="str">
        <f t="shared" si="17"/>
        <v>Mon</v>
      </c>
    </row>
    <row r="175" spans="1:17" x14ac:dyDescent="0.3">
      <c r="A175" s="2">
        <v>45992</v>
      </c>
      <c r="B175" s="3" t="s">
        <v>221</v>
      </c>
      <c r="C175" s="3" t="s">
        <v>25</v>
      </c>
      <c r="D175" s="3" t="s">
        <v>26</v>
      </c>
      <c r="E175" s="3" t="s">
        <v>44</v>
      </c>
      <c r="F175" s="3" t="s">
        <v>34</v>
      </c>
      <c r="G175" s="3">
        <v>55</v>
      </c>
      <c r="H175" s="4">
        <v>3598</v>
      </c>
      <c r="I175" s="4">
        <v>4200</v>
      </c>
      <c r="J175" s="3" t="s">
        <v>22</v>
      </c>
      <c r="K175" s="3" t="s">
        <v>30</v>
      </c>
      <c r="L175">
        <f t="shared" si="15"/>
        <v>2025</v>
      </c>
      <c r="M175">
        <f t="shared" si="12"/>
        <v>12</v>
      </c>
      <c r="N175" t="str">
        <f t="shared" si="13"/>
        <v>Dec</v>
      </c>
      <c r="O175" t="str">
        <f t="shared" si="14"/>
        <v>2025-12</v>
      </c>
      <c r="P175" t="str">
        <f t="shared" si="16"/>
        <v>2025-W49</v>
      </c>
      <c r="Q175" t="str">
        <f t="shared" si="17"/>
        <v>Mon</v>
      </c>
    </row>
    <row r="176" spans="1:17" x14ac:dyDescent="0.3">
      <c r="A176" s="2">
        <v>45992</v>
      </c>
      <c r="B176" s="3" t="s">
        <v>222</v>
      </c>
      <c r="C176" s="3" t="s">
        <v>57</v>
      </c>
      <c r="D176" s="3" t="s">
        <v>53</v>
      </c>
      <c r="E176" s="3" t="s">
        <v>29</v>
      </c>
      <c r="F176" s="3" t="s">
        <v>21</v>
      </c>
      <c r="G176" s="3">
        <v>30</v>
      </c>
      <c r="H176" s="4">
        <v>1324</v>
      </c>
      <c r="I176" s="4">
        <v>1500</v>
      </c>
      <c r="J176" s="3" t="s">
        <v>22</v>
      </c>
      <c r="K176" s="3" t="s">
        <v>23</v>
      </c>
      <c r="L176">
        <f t="shared" si="15"/>
        <v>2025</v>
      </c>
      <c r="M176">
        <f t="shared" si="12"/>
        <v>12</v>
      </c>
      <c r="N176" t="str">
        <f t="shared" si="13"/>
        <v>Dec</v>
      </c>
      <c r="O176" t="str">
        <f t="shared" si="14"/>
        <v>2025-12</v>
      </c>
      <c r="P176" t="str">
        <f t="shared" si="16"/>
        <v>2025-W49</v>
      </c>
      <c r="Q176" t="str">
        <f t="shared" si="17"/>
        <v>Mon</v>
      </c>
    </row>
    <row r="177" spans="1:17" x14ac:dyDescent="0.3">
      <c r="A177" s="2">
        <v>45993</v>
      </c>
      <c r="B177" s="3" t="s">
        <v>223</v>
      </c>
      <c r="C177" s="3" t="s">
        <v>50</v>
      </c>
      <c r="D177" s="3" t="s">
        <v>19</v>
      </c>
      <c r="E177" s="3" t="s">
        <v>20</v>
      </c>
      <c r="F177" s="3" t="s">
        <v>21</v>
      </c>
      <c r="G177" s="3">
        <v>9</v>
      </c>
      <c r="H177" s="4">
        <v>395</v>
      </c>
      <c r="I177" s="4">
        <v>400</v>
      </c>
      <c r="J177" s="3" t="s">
        <v>22</v>
      </c>
      <c r="K177" s="3" t="s">
        <v>36</v>
      </c>
      <c r="L177">
        <f t="shared" si="15"/>
        <v>2025</v>
      </c>
      <c r="M177">
        <f t="shared" si="12"/>
        <v>12</v>
      </c>
      <c r="N177" t="str">
        <f t="shared" si="13"/>
        <v>Dec</v>
      </c>
      <c r="O177" t="str">
        <f t="shared" si="14"/>
        <v>2025-12</v>
      </c>
      <c r="P177" t="str">
        <f t="shared" si="16"/>
        <v>2025-W49</v>
      </c>
      <c r="Q177" t="str">
        <f t="shared" si="17"/>
        <v>Tue</v>
      </c>
    </row>
    <row r="178" spans="1:17" x14ac:dyDescent="0.3">
      <c r="A178" s="2">
        <v>45994</v>
      </c>
      <c r="B178" s="3" t="s">
        <v>224</v>
      </c>
      <c r="C178" s="3" t="s">
        <v>57</v>
      </c>
      <c r="D178" s="3" t="s">
        <v>19</v>
      </c>
      <c r="E178" s="3" t="s">
        <v>29</v>
      </c>
      <c r="F178" s="3" t="s">
        <v>21</v>
      </c>
      <c r="G178" s="3">
        <v>57</v>
      </c>
      <c r="H178" s="4">
        <v>2448</v>
      </c>
      <c r="I178" s="4">
        <v>2700</v>
      </c>
      <c r="J178" s="3" t="s">
        <v>22</v>
      </c>
      <c r="K178" s="3" t="s">
        <v>30</v>
      </c>
      <c r="L178">
        <f t="shared" si="15"/>
        <v>2025</v>
      </c>
      <c r="M178">
        <f t="shared" si="12"/>
        <v>12</v>
      </c>
      <c r="N178" t="str">
        <f t="shared" si="13"/>
        <v>Dec</v>
      </c>
      <c r="O178" t="str">
        <f t="shared" si="14"/>
        <v>2025-12</v>
      </c>
      <c r="P178" t="str">
        <f t="shared" si="16"/>
        <v>2025-W49</v>
      </c>
      <c r="Q178" t="str">
        <f t="shared" si="17"/>
        <v>Wed</v>
      </c>
    </row>
    <row r="179" spans="1:17" x14ac:dyDescent="0.3">
      <c r="A179" s="2">
        <v>45994</v>
      </c>
      <c r="B179" s="3" t="s">
        <v>225</v>
      </c>
      <c r="C179" s="3" t="s">
        <v>43</v>
      </c>
      <c r="D179" s="3" t="s">
        <v>26</v>
      </c>
      <c r="E179" s="3" t="s">
        <v>48</v>
      </c>
      <c r="F179" s="3" t="s">
        <v>15</v>
      </c>
      <c r="G179" s="3">
        <v>102</v>
      </c>
      <c r="H179" s="4">
        <v>5858</v>
      </c>
      <c r="I179" s="4">
        <v>6700</v>
      </c>
      <c r="J179" s="3" t="s">
        <v>22</v>
      </c>
      <c r="K179" s="3" t="s">
        <v>23</v>
      </c>
      <c r="L179">
        <f t="shared" si="15"/>
        <v>2025</v>
      </c>
      <c r="M179">
        <f t="shared" si="12"/>
        <v>12</v>
      </c>
      <c r="N179" t="str">
        <f t="shared" si="13"/>
        <v>Dec</v>
      </c>
      <c r="O179" t="str">
        <f t="shared" si="14"/>
        <v>2025-12</v>
      </c>
      <c r="P179" t="str">
        <f t="shared" si="16"/>
        <v>2025-W49</v>
      </c>
      <c r="Q179" t="str">
        <f t="shared" si="17"/>
        <v>Wed</v>
      </c>
    </row>
    <row r="180" spans="1:17" x14ac:dyDescent="0.3">
      <c r="A180" s="2">
        <v>45994</v>
      </c>
      <c r="B180" s="3" t="s">
        <v>226</v>
      </c>
      <c r="C180" s="3" t="s">
        <v>50</v>
      </c>
      <c r="D180" s="3" t="s">
        <v>65</v>
      </c>
      <c r="E180" s="3" t="s">
        <v>68</v>
      </c>
      <c r="F180" s="3" t="s">
        <v>34</v>
      </c>
      <c r="G180" s="3">
        <v>91</v>
      </c>
      <c r="H180" s="4">
        <v>4749</v>
      </c>
      <c r="I180" s="4">
        <v>4700</v>
      </c>
      <c r="J180" s="3" t="s">
        <v>39</v>
      </c>
      <c r="K180" s="3" t="s">
        <v>36</v>
      </c>
      <c r="L180">
        <f t="shared" si="15"/>
        <v>2025</v>
      </c>
      <c r="M180">
        <f t="shared" si="12"/>
        <v>12</v>
      </c>
      <c r="N180" t="str">
        <f t="shared" si="13"/>
        <v>Dec</v>
      </c>
      <c r="O180" t="str">
        <f t="shared" si="14"/>
        <v>2025-12</v>
      </c>
      <c r="P180" t="str">
        <f t="shared" si="16"/>
        <v>2025-W49</v>
      </c>
      <c r="Q180" t="str">
        <f t="shared" si="17"/>
        <v>Wed</v>
      </c>
    </row>
    <row r="181" spans="1:17" x14ac:dyDescent="0.3">
      <c r="A181" s="2">
        <v>45994</v>
      </c>
      <c r="B181" s="3" t="s">
        <v>227</v>
      </c>
      <c r="C181" s="3" t="s">
        <v>43</v>
      </c>
      <c r="D181" s="3" t="s">
        <v>53</v>
      </c>
      <c r="E181" s="3" t="s">
        <v>44</v>
      </c>
      <c r="F181" s="3" t="s">
        <v>34</v>
      </c>
      <c r="G181" s="3">
        <v>87</v>
      </c>
      <c r="H181" s="4">
        <v>5338</v>
      </c>
      <c r="I181" s="4">
        <v>4300</v>
      </c>
      <c r="J181" s="3" t="s">
        <v>22</v>
      </c>
      <c r="K181" s="3" t="s">
        <v>30</v>
      </c>
      <c r="L181">
        <f t="shared" si="15"/>
        <v>2025</v>
      </c>
      <c r="M181">
        <f t="shared" si="12"/>
        <v>12</v>
      </c>
      <c r="N181" t="str">
        <f t="shared" si="13"/>
        <v>Dec</v>
      </c>
      <c r="O181" t="str">
        <f t="shared" si="14"/>
        <v>2025-12</v>
      </c>
      <c r="P181" t="str">
        <f t="shared" si="16"/>
        <v>2025-W49</v>
      </c>
      <c r="Q181" t="str">
        <f t="shared" si="17"/>
        <v>Wed</v>
      </c>
    </row>
    <row r="182" spans="1:17" x14ac:dyDescent="0.3">
      <c r="A182" s="2">
        <v>45995</v>
      </c>
      <c r="B182" s="3" t="s">
        <v>228</v>
      </c>
      <c r="C182" s="3" t="s">
        <v>43</v>
      </c>
      <c r="D182" s="3" t="s">
        <v>47</v>
      </c>
      <c r="E182" s="3" t="s">
        <v>58</v>
      </c>
      <c r="F182" s="3" t="s">
        <v>59</v>
      </c>
      <c r="G182" s="3">
        <v>8</v>
      </c>
      <c r="H182" s="4">
        <v>826</v>
      </c>
      <c r="I182" s="4">
        <v>1000</v>
      </c>
      <c r="J182" s="3" t="s">
        <v>16</v>
      </c>
      <c r="K182" s="3" t="s">
        <v>36</v>
      </c>
      <c r="L182">
        <f t="shared" si="15"/>
        <v>2025</v>
      </c>
      <c r="M182">
        <f t="shared" si="12"/>
        <v>12</v>
      </c>
      <c r="N182" t="str">
        <f t="shared" si="13"/>
        <v>Dec</v>
      </c>
      <c r="O182" t="str">
        <f t="shared" si="14"/>
        <v>2025-12</v>
      </c>
      <c r="P182" t="str">
        <f t="shared" si="16"/>
        <v>2025-W49</v>
      </c>
      <c r="Q182" t="str">
        <f t="shared" si="17"/>
        <v>Thu</v>
      </c>
    </row>
    <row r="183" spans="1:17" x14ac:dyDescent="0.3">
      <c r="A183" s="2">
        <v>45995</v>
      </c>
      <c r="B183" s="3" t="s">
        <v>229</v>
      </c>
      <c r="C183" s="3" t="s">
        <v>43</v>
      </c>
      <c r="D183" s="3" t="s">
        <v>47</v>
      </c>
      <c r="E183" s="3" t="s">
        <v>44</v>
      </c>
      <c r="F183" s="3" t="s">
        <v>34</v>
      </c>
      <c r="G183" s="3">
        <v>19</v>
      </c>
      <c r="H183" s="4">
        <v>1208</v>
      </c>
      <c r="I183" s="4">
        <v>1500</v>
      </c>
      <c r="J183" s="3" t="s">
        <v>22</v>
      </c>
      <c r="K183" s="3" t="s">
        <v>36</v>
      </c>
      <c r="L183">
        <f t="shared" si="15"/>
        <v>2025</v>
      </c>
      <c r="M183">
        <f t="shared" si="12"/>
        <v>12</v>
      </c>
      <c r="N183" t="str">
        <f t="shared" si="13"/>
        <v>Dec</v>
      </c>
      <c r="O183" t="str">
        <f t="shared" si="14"/>
        <v>2025-12</v>
      </c>
      <c r="P183" t="str">
        <f t="shared" si="16"/>
        <v>2025-W49</v>
      </c>
      <c r="Q183" t="str">
        <f t="shared" si="17"/>
        <v>Thu</v>
      </c>
    </row>
    <row r="184" spans="1:17" x14ac:dyDescent="0.3">
      <c r="A184" s="2">
        <v>45995</v>
      </c>
      <c r="B184" s="3" t="s">
        <v>230</v>
      </c>
      <c r="C184" s="3" t="s">
        <v>43</v>
      </c>
      <c r="D184" s="3" t="s">
        <v>19</v>
      </c>
      <c r="E184" s="3" t="s">
        <v>68</v>
      </c>
      <c r="F184" s="3" t="s">
        <v>34</v>
      </c>
      <c r="G184" s="3">
        <v>73</v>
      </c>
      <c r="H184" s="4">
        <v>4432</v>
      </c>
      <c r="I184" s="4">
        <v>4600</v>
      </c>
      <c r="J184" s="3" t="s">
        <v>22</v>
      </c>
      <c r="K184" s="3" t="s">
        <v>30</v>
      </c>
      <c r="L184">
        <f t="shared" si="15"/>
        <v>2025</v>
      </c>
      <c r="M184">
        <f t="shared" si="12"/>
        <v>12</v>
      </c>
      <c r="N184" t="str">
        <f t="shared" si="13"/>
        <v>Dec</v>
      </c>
      <c r="O184" t="str">
        <f t="shared" si="14"/>
        <v>2025-12</v>
      </c>
      <c r="P184" t="str">
        <f t="shared" si="16"/>
        <v>2025-W49</v>
      </c>
      <c r="Q184" t="str">
        <f t="shared" si="17"/>
        <v>Thu</v>
      </c>
    </row>
    <row r="185" spans="1:17" x14ac:dyDescent="0.3">
      <c r="A185" s="2">
        <v>45995</v>
      </c>
      <c r="B185" s="3" t="s">
        <v>231</v>
      </c>
      <c r="C185" s="3" t="s">
        <v>12</v>
      </c>
      <c r="D185" s="3" t="s">
        <v>26</v>
      </c>
      <c r="E185" s="3" t="s">
        <v>27</v>
      </c>
      <c r="F185" s="3" t="s">
        <v>15</v>
      </c>
      <c r="G185" s="3">
        <v>23</v>
      </c>
      <c r="H185" s="4">
        <v>1037</v>
      </c>
      <c r="I185" s="4">
        <v>1200</v>
      </c>
      <c r="J185" s="3" t="s">
        <v>16</v>
      </c>
      <c r="K185" s="3" t="s">
        <v>36</v>
      </c>
      <c r="L185">
        <f t="shared" si="15"/>
        <v>2025</v>
      </c>
      <c r="M185">
        <f t="shared" si="12"/>
        <v>12</v>
      </c>
      <c r="N185" t="str">
        <f t="shared" si="13"/>
        <v>Dec</v>
      </c>
      <c r="O185" t="str">
        <f t="shared" si="14"/>
        <v>2025-12</v>
      </c>
      <c r="P185" t="str">
        <f t="shared" si="16"/>
        <v>2025-W49</v>
      </c>
      <c r="Q185" t="str">
        <f t="shared" si="17"/>
        <v>Thu</v>
      </c>
    </row>
    <row r="186" spans="1:17" x14ac:dyDescent="0.3">
      <c r="A186" s="2">
        <v>45996</v>
      </c>
      <c r="B186" s="3" t="s">
        <v>232</v>
      </c>
      <c r="C186" s="3" t="s">
        <v>50</v>
      </c>
      <c r="D186" s="3" t="s">
        <v>26</v>
      </c>
      <c r="E186" s="3" t="s">
        <v>44</v>
      </c>
      <c r="F186" s="3" t="s">
        <v>34</v>
      </c>
      <c r="G186" s="3">
        <v>14</v>
      </c>
      <c r="H186" s="4">
        <v>843</v>
      </c>
      <c r="I186" s="4">
        <v>800</v>
      </c>
      <c r="J186" s="3" t="s">
        <v>16</v>
      </c>
      <c r="K186" s="3" t="s">
        <v>30</v>
      </c>
      <c r="L186">
        <f t="shared" si="15"/>
        <v>2025</v>
      </c>
      <c r="M186">
        <f t="shared" si="12"/>
        <v>12</v>
      </c>
      <c r="N186" t="str">
        <f t="shared" si="13"/>
        <v>Dec</v>
      </c>
      <c r="O186" t="str">
        <f t="shared" si="14"/>
        <v>2025-12</v>
      </c>
      <c r="P186" t="str">
        <f t="shared" si="16"/>
        <v>2025-W49</v>
      </c>
      <c r="Q186" t="str">
        <f t="shared" si="17"/>
        <v>Fri</v>
      </c>
    </row>
    <row r="187" spans="1:17" x14ac:dyDescent="0.3">
      <c r="A187" s="2">
        <v>45996</v>
      </c>
      <c r="B187" s="3" t="s">
        <v>233</v>
      </c>
      <c r="C187" s="3" t="s">
        <v>25</v>
      </c>
      <c r="D187" s="3" t="s">
        <v>26</v>
      </c>
      <c r="E187" s="3" t="s">
        <v>48</v>
      </c>
      <c r="F187" s="3" t="s">
        <v>15</v>
      </c>
      <c r="G187" s="3">
        <v>69</v>
      </c>
      <c r="H187" s="4">
        <v>3842</v>
      </c>
      <c r="I187" s="4">
        <v>4400</v>
      </c>
      <c r="J187" s="3" t="s">
        <v>22</v>
      </c>
      <c r="K187" s="3" t="s">
        <v>36</v>
      </c>
      <c r="L187">
        <f t="shared" si="15"/>
        <v>2025</v>
      </c>
      <c r="M187">
        <f t="shared" si="12"/>
        <v>12</v>
      </c>
      <c r="N187" t="str">
        <f t="shared" si="13"/>
        <v>Dec</v>
      </c>
      <c r="O187" t="str">
        <f t="shared" si="14"/>
        <v>2025-12</v>
      </c>
      <c r="P187" t="str">
        <f t="shared" si="16"/>
        <v>2025-W49</v>
      </c>
      <c r="Q187" t="str">
        <f t="shared" si="17"/>
        <v>Fri</v>
      </c>
    </row>
    <row r="188" spans="1:17" x14ac:dyDescent="0.3">
      <c r="A188" s="2">
        <v>45996</v>
      </c>
      <c r="B188" s="3" t="s">
        <v>234</v>
      </c>
      <c r="C188" s="3" t="s">
        <v>38</v>
      </c>
      <c r="D188" s="3" t="s">
        <v>19</v>
      </c>
      <c r="E188" s="3" t="s">
        <v>68</v>
      </c>
      <c r="F188" s="3" t="s">
        <v>34</v>
      </c>
      <c r="G188" s="3">
        <v>117</v>
      </c>
      <c r="H188" s="4">
        <v>6441</v>
      </c>
      <c r="I188" s="4">
        <v>7300</v>
      </c>
      <c r="J188" s="3" t="s">
        <v>39</v>
      </c>
      <c r="K188" s="3" t="s">
        <v>17</v>
      </c>
      <c r="L188">
        <f t="shared" si="15"/>
        <v>2025</v>
      </c>
      <c r="M188">
        <f t="shared" si="12"/>
        <v>12</v>
      </c>
      <c r="N188" t="str">
        <f t="shared" si="13"/>
        <v>Dec</v>
      </c>
      <c r="O188" t="str">
        <f t="shared" si="14"/>
        <v>2025-12</v>
      </c>
      <c r="P188" t="str">
        <f t="shared" si="16"/>
        <v>2025-W49</v>
      </c>
      <c r="Q188" t="str">
        <f t="shared" si="17"/>
        <v>Fri</v>
      </c>
    </row>
    <row r="189" spans="1:17" x14ac:dyDescent="0.3">
      <c r="A189" s="2">
        <v>45996</v>
      </c>
      <c r="B189" s="3" t="s">
        <v>235</v>
      </c>
      <c r="C189" s="3" t="s">
        <v>43</v>
      </c>
      <c r="D189" s="3" t="s">
        <v>26</v>
      </c>
      <c r="E189" s="3" t="s">
        <v>48</v>
      </c>
      <c r="F189" s="3" t="s">
        <v>15</v>
      </c>
      <c r="G189" s="3">
        <v>114</v>
      </c>
      <c r="H189" s="4">
        <v>5660</v>
      </c>
      <c r="I189" s="4">
        <v>6100</v>
      </c>
      <c r="J189" s="3" t="s">
        <v>22</v>
      </c>
      <c r="K189" s="3" t="s">
        <v>36</v>
      </c>
      <c r="L189">
        <f t="shared" si="15"/>
        <v>2025</v>
      </c>
      <c r="M189">
        <f t="shared" si="12"/>
        <v>12</v>
      </c>
      <c r="N189" t="str">
        <f t="shared" si="13"/>
        <v>Dec</v>
      </c>
      <c r="O189" t="str">
        <f t="shared" si="14"/>
        <v>2025-12</v>
      </c>
      <c r="P189" t="str">
        <f t="shared" si="16"/>
        <v>2025-W49</v>
      </c>
      <c r="Q189" t="str">
        <f t="shared" si="17"/>
        <v>Fri</v>
      </c>
    </row>
    <row r="190" spans="1:17" x14ac:dyDescent="0.3">
      <c r="A190" s="2">
        <v>45996</v>
      </c>
      <c r="B190" s="3" t="s">
        <v>236</v>
      </c>
      <c r="C190" s="3" t="s">
        <v>25</v>
      </c>
      <c r="D190" s="3" t="s">
        <v>19</v>
      </c>
      <c r="E190" s="3" t="s">
        <v>33</v>
      </c>
      <c r="F190" s="3" t="s">
        <v>34</v>
      </c>
      <c r="G190" s="3">
        <v>14</v>
      </c>
      <c r="H190" s="4">
        <v>868</v>
      </c>
      <c r="I190" s="4">
        <v>700</v>
      </c>
      <c r="J190" s="3" t="s">
        <v>22</v>
      </c>
      <c r="K190" s="3" t="s">
        <v>23</v>
      </c>
      <c r="L190">
        <f t="shared" si="15"/>
        <v>2025</v>
      </c>
      <c r="M190">
        <f t="shared" si="12"/>
        <v>12</v>
      </c>
      <c r="N190" t="str">
        <f t="shared" si="13"/>
        <v>Dec</v>
      </c>
      <c r="O190" t="str">
        <f t="shared" si="14"/>
        <v>2025-12</v>
      </c>
      <c r="P190" t="str">
        <f t="shared" si="16"/>
        <v>2025-W49</v>
      </c>
      <c r="Q190" t="str">
        <f t="shared" si="17"/>
        <v>Fri</v>
      </c>
    </row>
    <row r="191" spans="1:17" x14ac:dyDescent="0.3">
      <c r="A191" s="2">
        <v>45996</v>
      </c>
      <c r="B191" s="3" t="s">
        <v>237</v>
      </c>
      <c r="C191" s="3" t="s">
        <v>32</v>
      </c>
      <c r="D191" s="3" t="s">
        <v>13</v>
      </c>
      <c r="E191" s="3" t="s">
        <v>29</v>
      </c>
      <c r="F191" s="3" t="s">
        <v>21</v>
      </c>
      <c r="G191" s="3">
        <v>13</v>
      </c>
      <c r="H191" s="4">
        <v>409</v>
      </c>
      <c r="I191" s="4">
        <v>400</v>
      </c>
      <c r="J191" s="3" t="s">
        <v>16</v>
      </c>
      <c r="K191" s="3" t="s">
        <v>23</v>
      </c>
      <c r="L191">
        <f t="shared" si="15"/>
        <v>2025</v>
      </c>
      <c r="M191">
        <f t="shared" si="12"/>
        <v>12</v>
      </c>
      <c r="N191" t="str">
        <f t="shared" si="13"/>
        <v>Dec</v>
      </c>
      <c r="O191" t="str">
        <f t="shared" si="14"/>
        <v>2025-12</v>
      </c>
      <c r="P191" t="str">
        <f t="shared" si="16"/>
        <v>2025-W49</v>
      </c>
      <c r="Q191" t="str">
        <f t="shared" si="17"/>
        <v>Fri</v>
      </c>
    </row>
    <row r="192" spans="1:17" x14ac:dyDescent="0.3">
      <c r="A192" s="2">
        <v>45996</v>
      </c>
      <c r="B192" s="3" t="s">
        <v>238</v>
      </c>
      <c r="C192" s="3" t="s">
        <v>25</v>
      </c>
      <c r="D192" s="3" t="s">
        <v>19</v>
      </c>
      <c r="E192" s="3" t="s">
        <v>27</v>
      </c>
      <c r="F192" s="3" t="s">
        <v>15</v>
      </c>
      <c r="G192" s="3">
        <v>93</v>
      </c>
      <c r="H192" s="4">
        <v>5220</v>
      </c>
      <c r="I192" s="4">
        <v>5400</v>
      </c>
      <c r="J192" s="3" t="s">
        <v>16</v>
      </c>
      <c r="K192" s="3" t="s">
        <v>36</v>
      </c>
      <c r="L192">
        <f t="shared" si="15"/>
        <v>2025</v>
      </c>
      <c r="M192">
        <f t="shared" si="12"/>
        <v>12</v>
      </c>
      <c r="N192" t="str">
        <f t="shared" si="13"/>
        <v>Dec</v>
      </c>
      <c r="O192" t="str">
        <f t="shared" si="14"/>
        <v>2025-12</v>
      </c>
      <c r="P192" t="str">
        <f t="shared" si="16"/>
        <v>2025-W49</v>
      </c>
      <c r="Q192" t="str">
        <f t="shared" si="17"/>
        <v>Fri</v>
      </c>
    </row>
    <row r="193" spans="1:17" x14ac:dyDescent="0.3">
      <c r="A193" s="2">
        <v>45997</v>
      </c>
      <c r="B193" s="3" t="s">
        <v>239</v>
      </c>
      <c r="C193" s="3" t="s">
        <v>57</v>
      </c>
      <c r="D193" s="3" t="s">
        <v>19</v>
      </c>
      <c r="E193" s="3" t="s">
        <v>27</v>
      </c>
      <c r="F193" s="3" t="s">
        <v>15</v>
      </c>
      <c r="G193" s="3">
        <v>12</v>
      </c>
      <c r="H193" s="4">
        <v>683</v>
      </c>
      <c r="I193" s="4">
        <v>800</v>
      </c>
      <c r="J193" s="3" t="s">
        <v>22</v>
      </c>
      <c r="K193" s="3" t="s">
        <v>23</v>
      </c>
      <c r="L193">
        <f t="shared" si="15"/>
        <v>2025</v>
      </c>
      <c r="M193">
        <f t="shared" si="12"/>
        <v>12</v>
      </c>
      <c r="N193" t="str">
        <f t="shared" si="13"/>
        <v>Dec</v>
      </c>
      <c r="O193" t="str">
        <f t="shared" si="14"/>
        <v>2025-12</v>
      </c>
      <c r="P193" t="str">
        <f t="shared" si="16"/>
        <v>2025-W49</v>
      </c>
      <c r="Q193" t="str">
        <f t="shared" si="17"/>
        <v>Sat</v>
      </c>
    </row>
    <row r="194" spans="1:17" x14ac:dyDescent="0.3">
      <c r="A194" s="2">
        <v>45997</v>
      </c>
      <c r="B194" s="3" t="s">
        <v>240</v>
      </c>
      <c r="C194" s="3" t="s">
        <v>57</v>
      </c>
      <c r="D194" s="3" t="s">
        <v>47</v>
      </c>
      <c r="E194" s="3" t="s">
        <v>48</v>
      </c>
      <c r="F194" s="3" t="s">
        <v>15</v>
      </c>
      <c r="G194" s="3">
        <v>38</v>
      </c>
      <c r="H194" s="4">
        <v>2165</v>
      </c>
      <c r="I194" s="4">
        <v>2600</v>
      </c>
      <c r="J194" s="3" t="s">
        <v>22</v>
      </c>
      <c r="K194" s="3" t="s">
        <v>17</v>
      </c>
      <c r="L194">
        <f t="shared" si="15"/>
        <v>2025</v>
      </c>
      <c r="M194">
        <f t="shared" ref="M194:M257" si="18">MONTH($A194)</f>
        <v>12</v>
      </c>
      <c r="N194" t="str">
        <f t="shared" ref="N194:N257" si="19">TEXT($A194,"mmm")</f>
        <v>Dec</v>
      </c>
      <c r="O194" t="str">
        <f t="shared" ref="O194:O257" si="20">YEAR($A194)&amp;"-"&amp;TEXT(MONTH($A194),"00")</f>
        <v>2025-12</v>
      </c>
      <c r="P194" t="str">
        <f t="shared" si="16"/>
        <v>2025-W49</v>
      </c>
      <c r="Q194" t="str">
        <f t="shared" si="17"/>
        <v>Sat</v>
      </c>
    </row>
    <row r="195" spans="1:17" x14ac:dyDescent="0.3">
      <c r="A195" s="2">
        <v>46000</v>
      </c>
      <c r="B195" s="3" t="s">
        <v>241</v>
      </c>
      <c r="C195" s="3" t="s">
        <v>32</v>
      </c>
      <c r="D195" s="3" t="s">
        <v>13</v>
      </c>
      <c r="E195" s="3" t="s">
        <v>27</v>
      </c>
      <c r="F195" s="3" t="s">
        <v>15</v>
      </c>
      <c r="G195" s="3">
        <v>86</v>
      </c>
      <c r="H195" s="4">
        <v>4980</v>
      </c>
      <c r="I195" s="4">
        <v>4700</v>
      </c>
      <c r="J195" s="3" t="s">
        <v>39</v>
      </c>
      <c r="K195" s="3" t="s">
        <v>30</v>
      </c>
      <c r="L195">
        <f t="shared" ref="L195:L258" si="21">YEAR($A195)</f>
        <v>2025</v>
      </c>
      <c r="M195">
        <f t="shared" si="18"/>
        <v>12</v>
      </c>
      <c r="N195" t="str">
        <f t="shared" si="19"/>
        <v>Dec</v>
      </c>
      <c r="O195" t="str">
        <f t="shared" si="20"/>
        <v>2025-12</v>
      </c>
      <c r="P195" t="str">
        <f t="shared" ref="P195:P258" si="22">YEAR($A195)&amp;"-W"&amp;TEXT(WEEKNUM($A195,2),"00")</f>
        <v>2025-W50</v>
      </c>
      <c r="Q195" t="str">
        <f t="shared" ref="Q195:Q258" si="23">CHOOSE(WEEKDAY($A195,2),"Mon","Tue","Wed","Thu","Fri","Sat","Sun")</f>
        <v>Tue</v>
      </c>
    </row>
    <row r="196" spans="1:17" x14ac:dyDescent="0.3">
      <c r="A196" s="2">
        <v>46000</v>
      </c>
      <c r="B196" s="3" t="s">
        <v>242</v>
      </c>
      <c r="C196" s="3" t="s">
        <v>43</v>
      </c>
      <c r="D196" s="3" t="s">
        <v>19</v>
      </c>
      <c r="E196" s="3" t="s">
        <v>27</v>
      </c>
      <c r="F196" s="3" t="s">
        <v>15</v>
      </c>
      <c r="G196" s="3">
        <v>111</v>
      </c>
      <c r="H196" s="4">
        <v>5686</v>
      </c>
      <c r="I196" s="4">
        <v>5400</v>
      </c>
      <c r="J196" s="3" t="s">
        <v>22</v>
      </c>
      <c r="K196" s="3" t="s">
        <v>17</v>
      </c>
      <c r="L196">
        <f t="shared" si="21"/>
        <v>2025</v>
      </c>
      <c r="M196">
        <f t="shared" si="18"/>
        <v>12</v>
      </c>
      <c r="N196" t="str">
        <f t="shared" si="19"/>
        <v>Dec</v>
      </c>
      <c r="O196" t="str">
        <f t="shared" si="20"/>
        <v>2025-12</v>
      </c>
      <c r="P196" t="str">
        <f t="shared" si="22"/>
        <v>2025-W50</v>
      </c>
      <c r="Q196" t="str">
        <f t="shared" si="23"/>
        <v>Tue</v>
      </c>
    </row>
    <row r="197" spans="1:17" x14ac:dyDescent="0.3">
      <c r="A197" s="2">
        <v>46000</v>
      </c>
      <c r="B197" s="3" t="s">
        <v>243</v>
      </c>
      <c r="C197" s="3" t="s">
        <v>38</v>
      </c>
      <c r="D197" s="3" t="s">
        <v>19</v>
      </c>
      <c r="E197" s="3" t="s">
        <v>48</v>
      </c>
      <c r="F197" s="3" t="s">
        <v>15</v>
      </c>
      <c r="G197" s="3">
        <v>72</v>
      </c>
      <c r="H197" s="4">
        <v>4102</v>
      </c>
      <c r="I197" s="4">
        <v>4500</v>
      </c>
      <c r="J197" s="3" t="s">
        <v>22</v>
      </c>
      <c r="K197" s="3" t="s">
        <v>23</v>
      </c>
      <c r="L197">
        <f t="shared" si="21"/>
        <v>2025</v>
      </c>
      <c r="M197">
        <f t="shared" si="18"/>
        <v>12</v>
      </c>
      <c r="N197" t="str">
        <f t="shared" si="19"/>
        <v>Dec</v>
      </c>
      <c r="O197" t="str">
        <f t="shared" si="20"/>
        <v>2025-12</v>
      </c>
      <c r="P197" t="str">
        <f t="shared" si="22"/>
        <v>2025-W50</v>
      </c>
      <c r="Q197" t="str">
        <f t="shared" si="23"/>
        <v>Tue</v>
      </c>
    </row>
    <row r="198" spans="1:17" x14ac:dyDescent="0.3">
      <c r="A198" s="2">
        <v>46001</v>
      </c>
      <c r="B198" s="3" t="s">
        <v>244</v>
      </c>
      <c r="C198" s="3" t="s">
        <v>12</v>
      </c>
      <c r="D198" s="3" t="s">
        <v>47</v>
      </c>
      <c r="E198" s="3" t="s">
        <v>20</v>
      </c>
      <c r="F198" s="3" t="s">
        <v>21</v>
      </c>
      <c r="G198" s="3">
        <v>21</v>
      </c>
      <c r="H198" s="4">
        <v>743</v>
      </c>
      <c r="I198" s="4">
        <v>600</v>
      </c>
      <c r="J198" s="3" t="s">
        <v>22</v>
      </c>
      <c r="K198" s="3" t="s">
        <v>30</v>
      </c>
      <c r="L198">
        <f t="shared" si="21"/>
        <v>2025</v>
      </c>
      <c r="M198">
        <f t="shared" si="18"/>
        <v>12</v>
      </c>
      <c r="N198" t="str">
        <f t="shared" si="19"/>
        <v>Dec</v>
      </c>
      <c r="O198" t="str">
        <f t="shared" si="20"/>
        <v>2025-12</v>
      </c>
      <c r="P198" t="str">
        <f t="shared" si="22"/>
        <v>2025-W50</v>
      </c>
      <c r="Q198" t="str">
        <f t="shared" si="23"/>
        <v>Wed</v>
      </c>
    </row>
    <row r="199" spans="1:17" x14ac:dyDescent="0.3">
      <c r="A199" s="2">
        <v>46001</v>
      </c>
      <c r="B199" s="3" t="s">
        <v>245</v>
      </c>
      <c r="C199" s="3" t="s">
        <v>12</v>
      </c>
      <c r="D199" s="3" t="s">
        <v>26</v>
      </c>
      <c r="E199" s="3" t="s">
        <v>44</v>
      </c>
      <c r="F199" s="3" t="s">
        <v>34</v>
      </c>
      <c r="G199" s="3">
        <v>59</v>
      </c>
      <c r="H199" s="4">
        <v>3644</v>
      </c>
      <c r="I199" s="4">
        <v>4300</v>
      </c>
      <c r="J199" s="3" t="s">
        <v>22</v>
      </c>
      <c r="K199" s="3" t="s">
        <v>30</v>
      </c>
      <c r="L199">
        <f t="shared" si="21"/>
        <v>2025</v>
      </c>
      <c r="M199">
        <f t="shared" si="18"/>
        <v>12</v>
      </c>
      <c r="N199" t="str">
        <f t="shared" si="19"/>
        <v>Dec</v>
      </c>
      <c r="O199" t="str">
        <f t="shared" si="20"/>
        <v>2025-12</v>
      </c>
      <c r="P199" t="str">
        <f t="shared" si="22"/>
        <v>2025-W50</v>
      </c>
      <c r="Q199" t="str">
        <f t="shared" si="23"/>
        <v>Wed</v>
      </c>
    </row>
    <row r="200" spans="1:17" x14ac:dyDescent="0.3">
      <c r="A200" s="2">
        <v>46001</v>
      </c>
      <c r="B200" s="3" t="s">
        <v>246</v>
      </c>
      <c r="C200" s="3" t="s">
        <v>38</v>
      </c>
      <c r="D200" s="3" t="s">
        <v>13</v>
      </c>
      <c r="E200" s="3" t="s">
        <v>14</v>
      </c>
      <c r="F200" s="3" t="s">
        <v>15</v>
      </c>
      <c r="G200" s="3">
        <v>16</v>
      </c>
      <c r="H200" s="4">
        <v>847</v>
      </c>
      <c r="I200" s="4">
        <v>900</v>
      </c>
      <c r="J200" s="3" t="s">
        <v>22</v>
      </c>
      <c r="K200" s="3" t="s">
        <v>36</v>
      </c>
      <c r="L200">
        <f t="shared" si="21"/>
        <v>2025</v>
      </c>
      <c r="M200">
        <f t="shared" si="18"/>
        <v>12</v>
      </c>
      <c r="N200" t="str">
        <f t="shared" si="19"/>
        <v>Dec</v>
      </c>
      <c r="O200" t="str">
        <f t="shared" si="20"/>
        <v>2025-12</v>
      </c>
      <c r="P200" t="str">
        <f t="shared" si="22"/>
        <v>2025-W50</v>
      </c>
      <c r="Q200" t="str">
        <f t="shared" si="23"/>
        <v>Wed</v>
      </c>
    </row>
    <row r="201" spans="1:17" x14ac:dyDescent="0.3">
      <c r="A201" s="2">
        <v>46002</v>
      </c>
      <c r="B201" s="3" t="s">
        <v>247</v>
      </c>
      <c r="C201" s="3" t="s">
        <v>91</v>
      </c>
      <c r="D201" s="3" t="s">
        <v>26</v>
      </c>
      <c r="E201" s="3" t="s">
        <v>14</v>
      </c>
      <c r="F201" s="3" t="s">
        <v>15</v>
      </c>
      <c r="G201" s="3">
        <v>111</v>
      </c>
      <c r="H201" s="4">
        <v>6430</v>
      </c>
      <c r="I201" s="4">
        <v>8000</v>
      </c>
      <c r="J201" s="3" t="s">
        <v>22</v>
      </c>
      <c r="K201" s="3" t="s">
        <v>36</v>
      </c>
      <c r="L201">
        <f t="shared" si="21"/>
        <v>2025</v>
      </c>
      <c r="M201">
        <f t="shared" si="18"/>
        <v>12</v>
      </c>
      <c r="N201" t="str">
        <f t="shared" si="19"/>
        <v>Dec</v>
      </c>
      <c r="O201" t="str">
        <f t="shared" si="20"/>
        <v>2025-12</v>
      </c>
      <c r="P201" t="str">
        <f t="shared" si="22"/>
        <v>2025-W50</v>
      </c>
      <c r="Q201" t="str">
        <f t="shared" si="23"/>
        <v>Thu</v>
      </c>
    </row>
    <row r="202" spans="1:17" x14ac:dyDescent="0.3">
      <c r="A202" s="2">
        <v>46002</v>
      </c>
      <c r="B202" s="3" t="s">
        <v>248</v>
      </c>
      <c r="C202" s="3" t="s">
        <v>38</v>
      </c>
      <c r="D202" s="3" t="s">
        <v>53</v>
      </c>
      <c r="E202" s="3" t="s">
        <v>68</v>
      </c>
      <c r="F202" s="3" t="s">
        <v>34</v>
      </c>
      <c r="G202" s="3">
        <v>43</v>
      </c>
      <c r="H202" s="4">
        <v>2521</v>
      </c>
      <c r="I202" s="4">
        <v>2800</v>
      </c>
      <c r="J202" s="3" t="s">
        <v>39</v>
      </c>
      <c r="K202" s="3" t="s">
        <v>36</v>
      </c>
      <c r="L202">
        <f t="shared" si="21"/>
        <v>2025</v>
      </c>
      <c r="M202">
        <f t="shared" si="18"/>
        <v>12</v>
      </c>
      <c r="N202" t="str">
        <f t="shared" si="19"/>
        <v>Dec</v>
      </c>
      <c r="O202" t="str">
        <f t="shared" si="20"/>
        <v>2025-12</v>
      </c>
      <c r="P202" t="str">
        <f t="shared" si="22"/>
        <v>2025-W50</v>
      </c>
      <c r="Q202" t="str">
        <f t="shared" si="23"/>
        <v>Thu</v>
      </c>
    </row>
    <row r="203" spans="1:17" x14ac:dyDescent="0.3">
      <c r="A203" s="2">
        <v>46002</v>
      </c>
      <c r="B203" s="3" t="s">
        <v>249</v>
      </c>
      <c r="C203" s="3" t="s">
        <v>12</v>
      </c>
      <c r="D203" s="3" t="s">
        <v>65</v>
      </c>
      <c r="E203" s="3" t="s">
        <v>61</v>
      </c>
      <c r="F203" s="3" t="s">
        <v>59</v>
      </c>
      <c r="G203" s="3">
        <v>96</v>
      </c>
      <c r="H203" s="4">
        <v>10844</v>
      </c>
      <c r="I203" s="4">
        <v>10100</v>
      </c>
      <c r="J203" s="3" t="s">
        <v>22</v>
      </c>
      <c r="K203" s="3" t="s">
        <v>23</v>
      </c>
      <c r="L203">
        <f t="shared" si="21"/>
        <v>2025</v>
      </c>
      <c r="M203">
        <f t="shared" si="18"/>
        <v>12</v>
      </c>
      <c r="N203" t="str">
        <f t="shared" si="19"/>
        <v>Dec</v>
      </c>
      <c r="O203" t="str">
        <f t="shared" si="20"/>
        <v>2025-12</v>
      </c>
      <c r="P203" t="str">
        <f t="shared" si="22"/>
        <v>2025-W50</v>
      </c>
      <c r="Q203" t="str">
        <f t="shared" si="23"/>
        <v>Thu</v>
      </c>
    </row>
    <row r="204" spans="1:17" x14ac:dyDescent="0.3">
      <c r="A204" s="2">
        <v>46003</v>
      </c>
      <c r="B204" s="3" t="s">
        <v>250</v>
      </c>
      <c r="C204" s="3" t="s">
        <v>50</v>
      </c>
      <c r="D204" s="3" t="s">
        <v>26</v>
      </c>
      <c r="E204" s="3" t="s">
        <v>14</v>
      </c>
      <c r="F204" s="3" t="s">
        <v>15</v>
      </c>
      <c r="G204" s="3">
        <v>20</v>
      </c>
      <c r="H204" s="4">
        <v>1182</v>
      </c>
      <c r="I204" s="4">
        <v>1300</v>
      </c>
      <c r="J204" s="3" t="s">
        <v>22</v>
      </c>
      <c r="K204" s="3" t="s">
        <v>36</v>
      </c>
      <c r="L204">
        <f t="shared" si="21"/>
        <v>2025</v>
      </c>
      <c r="M204">
        <f t="shared" si="18"/>
        <v>12</v>
      </c>
      <c r="N204" t="str">
        <f t="shared" si="19"/>
        <v>Dec</v>
      </c>
      <c r="O204" t="str">
        <f t="shared" si="20"/>
        <v>2025-12</v>
      </c>
      <c r="P204" t="str">
        <f t="shared" si="22"/>
        <v>2025-W50</v>
      </c>
      <c r="Q204" t="str">
        <f t="shared" si="23"/>
        <v>Fri</v>
      </c>
    </row>
    <row r="205" spans="1:17" x14ac:dyDescent="0.3">
      <c r="A205" s="2">
        <v>46004</v>
      </c>
      <c r="B205" s="3" t="s">
        <v>251</v>
      </c>
      <c r="C205" s="3" t="s">
        <v>50</v>
      </c>
      <c r="D205" s="3" t="s">
        <v>26</v>
      </c>
      <c r="E205" s="3" t="s">
        <v>20</v>
      </c>
      <c r="F205" s="3" t="s">
        <v>21</v>
      </c>
      <c r="G205" s="3">
        <v>85</v>
      </c>
      <c r="H205" s="4">
        <v>3458</v>
      </c>
      <c r="I205" s="4">
        <v>4300</v>
      </c>
      <c r="J205" s="3" t="s">
        <v>22</v>
      </c>
      <c r="K205" s="3" t="s">
        <v>17</v>
      </c>
      <c r="L205">
        <f t="shared" si="21"/>
        <v>2025</v>
      </c>
      <c r="M205">
        <f t="shared" si="18"/>
        <v>12</v>
      </c>
      <c r="N205" t="str">
        <f t="shared" si="19"/>
        <v>Dec</v>
      </c>
      <c r="O205" t="str">
        <f t="shared" si="20"/>
        <v>2025-12</v>
      </c>
      <c r="P205" t="str">
        <f t="shared" si="22"/>
        <v>2025-W50</v>
      </c>
      <c r="Q205" t="str">
        <f t="shared" si="23"/>
        <v>Sat</v>
      </c>
    </row>
    <row r="206" spans="1:17" x14ac:dyDescent="0.3">
      <c r="A206" s="2">
        <v>46004</v>
      </c>
      <c r="B206" s="3" t="s">
        <v>252</v>
      </c>
      <c r="C206" s="3" t="s">
        <v>50</v>
      </c>
      <c r="D206" s="3" t="s">
        <v>53</v>
      </c>
      <c r="E206" s="3" t="s">
        <v>20</v>
      </c>
      <c r="F206" s="3" t="s">
        <v>21</v>
      </c>
      <c r="G206" s="3">
        <v>94</v>
      </c>
      <c r="H206" s="4">
        <v>4105</v>
      </c>
      <c r="I206" s="4">
        <v>4000</v>
      </c>
      <c r="J206" s="3" t="s">
        <v>39</v>
      </c>
      <c r="K206" s="3" t="s">
        <v>17</v>
      </c>
      <c r="L206">
        <f t="shared" si="21"/>
        <v>2025</v>
      </c>
      <c r="M206">
        <f t="shared" si="18"/>
        <v>12</v>
      </c>
      <c r="N206" t="str">
        <f t="shared" si="19"/>
        <v>Dec</v>
      </c>
      <c r="O206" t="str">
        <f t="shared" si="20"/>
        <v>2025-12</v>
      </c>
      <c r="P206" t="str">
        <f t="shared" si="22"/>
        <v>2025-W50</v>
      </c>
      <c r="Q206" t="str">
        <f t="shared" si="23"/>
        <v>Sat</v>
      </c>
    </row>
    <row r="207" spans="1:17" x14ac:dyDescent="0.3">
      <c r="A207" s="2">
        <v>46004</v>
      </c>
      <c r="B207" s="3" t="s">
        <v>253</v>
      </c>
      <c r="C207" s="3" t="s">
        <v>32</v>
      </c>
      <c r="D207" s="3" t="s">
        <v>19</v>
      </c>
      <c r="E207" s="3" t="s">
        <v>61</v>
      </c>
      <c r="F207" s="3" t="s">
        <v>59</v>
      </c>
      <c r="G207" s="3">
        <v>60</v>
      </c>
      <c r="H207" s="4">
        <v>5984</v>
      </c>
      <c r="I207" s="4">
        <v>5000</v>
      </c>
      <c r="J207" s="3" t="s">
        <v>22</v>
      </c>
      <c r="K207" s="3" t="s">
        <v>30</v>
      </c>
      <c r="L207">
        <f t="shared" si="21"/>
        <v>2025</v>
      </c>
      <c r="M207">
        <f t="shared" si="18"/>
        <v>12</v>
      </c>
      <c r="N207" t="str">
        <f t="shared" si="19"/>
        <v>Dec</v>
      </c>
      <c r="O207" t="str">
        <f t="shared" si="20"/>
        <v>2025-12</v>
      </c>
      <c r="P207" t="str">
        <f t="shared" si="22"/>
        <v>2025-W50</v>
      </c>
      <c r="Q207" t="str">
        <f t="shared" si="23"/>
        <v>Sat</v>
      </c>
    </row>
    <row r="208" spans="1:17" x14ac:dyDescent="0.3">
      <c r="A208" s="2">
        <v>46005</v>
      </c>
      <c r="B208" s="3" t="s">
        <v>254</v>
      </c>
      <c r="C208" s="3" t="s">
        <v>50</v>
      </c>
      <c r="D208" s="3" t="s">
        <v>26</v>
      </c>
      <c r="E208" s="3" t="s">
        <v>44</v>
      </c>
      <c r="F208" s="3" t="s">
        <v>34</v>
      </c>
      <c r="G208" s="3">
        <v>119</v>
      </c>
      <c r="H208" s="4">
        <v>6506</v>
      </c>
      <c r="I208" s="4">
        <v>8100</v>
      </c>
      <c r="J208" s="3" t="s">
        <v>22</v>
      </c>
      <c r="K208" s="3" t="s">
        <v>17</v>
      </c>
      <c r="L208">
        <f t="shared" si="21"/>
        <v>2025</v>
      </c>
      <c r="M208">
        <f t="shared" si="18"/>
        <v>12</v>
      </c>
      <c r="N208" t="str">
        <f t="shared" si="19"/>
        <v>Dec</v>
      </c>
      <c r="O208" t="str">
        <f t="shared" si="20"/>
        <v>2025-12</v>
      </c>
      <c r="P208" t="str">
        <f t="shared" si="22"/>
        <v>2025-W50</v>
      </c>
      <c r="Q208" t="str">
        <f t="shared" si="23"/>
        <v>Sun</v>
      </c>
    </row>
    <row r="209" spans="1:17" x14ac:dyDescent="0.3">
      <c r="A209" s="2">
        <v>46005</v>
      </c>
      <c r="B209" s="3" t="s">
        <v>255</v>
      </c>
      <c r="C209" s="3" t="s">
        <v>12</v>
      </c>
      <c r="D209" s="3" t="s">
        <v>19</v>
      </c>
      <c r="E209" s="3" t="s">
        <v>14</v>
      </c>
      <c r="F209" s="3" t="s">
        <v>15</v>
      </c>
      <c r="G209" s="3">
        <v>37</v>
      </c>
      <c r="H209" s="4">
        <v>1667</v>
      </c>
      <c r="I209" s="4">
        <v>1600</v>
      </c>
      <c r="J209" s="3" t="s">
        <v>39</v>
      </c>
      <c r="K209" s="3" t="s">
        <v>17</v>
      </c>
      <c r="L209">
        <f t="shared" si="21"/>
        <v>2025</v>
      </c>
      <c r="M209">
        <f t="shared" si="18"/>
        <v>12</v>
      </c>
      <c r="N209" t="str">
        <f t="shared" si="19"/>
        <v>Dec</v>
      </c>
      <c r="O209" t="str">
        <f t="shared" si="20"/>
        <v>2025-12</v>
      </c>
      <c r="P209" t="str">
        <f t="shared" si="22"/>
        <v>2025-W50</v>
      </c>
      <c r="Q209" t="str">
        <f t="shared" si="23"/>
        <v>Sun</v>
      </c>
    </row>
    <row r="210" spans="1:17" x14ac:dyDescent="0.3">
      <c r="A210" s="2">
        <v>46005</v>
      </c>
      <c r="B210" s="3" t="s">
        <v>256</v>
      </c>
      <c r="C210" s="3" t="s">
        <v>25</v>
      </c>
      <c r="D210" s="3" t="s">
        <v>47</v>
      </c>
      <c r="E210" s="3" t="s">
        <v>61</v>
      </c>
      <c r="F210" s="3" t="s">
        <v>59</v>
      </c>
      <c r="G210" s="3">
        <v>42</v>
      </c>
      <c r="H210" s="4">
        <v>3896</v>
      </c>
      <c r="I210" s="4">
        <v>3700</v>
      </c>
      <c r="J210" s="3" t="s">
        <v>22</v>
      </c>
      <c r="K210" s="3" t="s">
        <v>36</v>
      </c>
      <c r="L210">
        <f t="shared" si="21"/>
        <v>2025</v>
      </c>
      <c r="M210">
        <f t="shared" si="18"/>
        <v>12</v>
      </c>
      <c r="N210" t="str">
        <f t="shared" si="19"/>
        <v>Dec</v>
      </c>
      <c r="O210" t="str">
        <f t="shared" si="20"/>
        <v>2025-12</v>
      </c>
      <c r="P210" t="str">
        <f t="shared" si="22"/>
        <v>2025-W50</v>
      </c>
      <c r="Q210" t="str">
        <f t="shared" si="23"/>
        <v>Sun</v>
      </c>
    </row>
    <row r="211" spans="1:17" x14ac:dyDescent="0.3">
      <c r="A211" s="2">
        <v>46005</v>
      </c>
      <c r="B211" s="3" t="s">
        <v>257</v>
      </c>
      <c r="C211" s="3" t="s">
        <v>50</v>
      </c>
      <c r="D211" s="3" t="s">
        <v>19</v>
      </c>
      <c r="E211" s="3" t="s">
        <v>48</v>
      </c>
      <c r="F211" s="3" t="s">
        <v>15</v>
      </c>
      <c r="G211" s="3">
        <v>29</v>
      </c>
      <c r="H211" s="4">
        <v>1688</v>
      </c>
      <c r="I211" s="4">
        <v>2000</v>
      </c>
      <c r="J211" s="3" t="s">
        <v>22</v>
      </c>
      <c r="K211" s="3" t="s">
        <v>36</v>
      </c>
      <c r="L211">
        <f t="shared" si="21"/>
        <v>2025</v>
      </c>
      <c r="M211">
        <f t="shared" si="18"/>
        <v>12</v>
      </c>
      <c r="N211" t="str">
        <f t="shared" si="19"/>
        <v>Dec</v>
      </c>
      <c r="O211" t="str">
        <f t="shared" si="20"/>
        <v>2025-12</v>
      </c>
      <c r="P211" t="str">
        <f t="shared" si="22"/>
        <v>2025-W50</v>
      </c>
      <c r="Q211" t="str">
        <f t="shared" si="23"/>
        <v>Sun</v>
      </c>
    </row>
    <row r="212" spans="1:17" x14ac:dyDescent="0.3">
      <c r="A212" s="2">
        <v>46006</v>
      </c>
      <c r="B212" s="3" t="s">
        <v>258</v>
      </c>
      <c r="C212" s="3" t="s">
        <v>43</v>
      </c>
      <c r="D212" s="3" t="s">
        <v>13</v>
      </c>
      <c r="E212" s="3" t="s">
        <v>29</v>
      </c>
      <c r="F212" s="3" t="s">
        <v>21</v>
      </c>
      <c r="G212" s="3">
        <v>91</v>
      </c>
      <c r="H212" s="4">
        <v>3830</v>
      </c>
      <c r="I212" s="4">
        <v>4700</v>
      </c>
      <c r="J212" s="3" t="s">
        <v>39</v>
      </c>
      <c r="K212" s="3" t="s">
        <v>36</v>
      </c>
      <c r="L212">
        <f t="shared" si="21"/>
        <v>2025</v>
      </c>
      <c r="M212">
        <f t="shared" si="18"/>
        <v>12</v>
      </c>
      <c r="N212" t="str">
        <f t="shared" si="19"/>
        <v>Dec</v>
      </c>
      <c r="O212" t="str">
        <f t="shared" si="20"/>
        <v>2025-12</v>
      </c>
      <c r="P212" t="str">
        <f t="shared" si="22"/>
        <v>2025-W51</v>
      </c>
      <c r="Q212" t="str">
        <f t="shared" si="23"/>
        <v>Mon</v>
      </c>
    </row>
    <row r="213" spans="1:17" x14ac:dyDescent="0.3">
      <c r="A213" s="2">
        <v>46006</v>
      </c>
      <c r="B213" s="3" t="s">
        <v>259</v>
      </c>
      <c r="C213" s="3" t="s">
        <v>32</v>
      </c>
      <c r="D213" s="3" t="s">
        <v>53</v>
      </c>
      <c r="E213" s="3" t="s">
        <v>29</v>
      </c>
      <c r="F213" s="3" t="s">
        <v>21</v>
      </c>
      <c r="G213" s="3">
        <v>19</v>
      </c>
      <c r="H213" s="4">
        <v>788</v>
      </c>
      <c r="I213" s="4">
        <v>900</v>
      </c>
      <c r="J213" s="3" t="s">
        <v>16</v>
      </c>
      <c r="K213" s="3" t="s">
        <v>17</v>
      </c>
      <c r="L213">
        <f t="shared" si="21"/>
        <v>2025</v>
      </c>
      <c r="M213">
        <f t="shared" si="18"/>
        <v>12</v>
      </c>
      <c r="N213" t="str">
        <f t="shared" si="19"/>
        <v>Dec</v>
      </c>
      <c r="O213" t="str">
        <f t="shared" si="20"/>
        <v>2025-12</v>
      </c>
      <c r="P213" t="str">
        <f t="shared" si="22"/>
        <v>2025-W51</v>
      </c>
      <c r="Q213" t="str">
        <f t="shared" si="23"/>
        <v>Mon</v>
      </c>
    </row>
    <row r="214" spans="1:17" x14ac:dyDescent="0.3">
      <c r="A214" s="2">
        <v>46006</v>
      </c>
      <c r="B214" s="3" t="s">
        <v>260</v>
      </c>
      <c r="C214" s="3" t="s">
        <v>38</v>
      </c>
      <c r="D214" s="3" t="s">
        <v>19</v>
      </c>
      <c r="E214" s="3" t="s">
        <v>33</v>
      </c>
      <c r="F214" s="3" t="s">
        <v>34</v>
      </c>
      <c r="G214" s="3">
        <v>116</v>
      </c>
      <c r="H214" s="4">
        <v>6563</v>
      </c>
      <c r="I214" s="4">
        <v>8100</v>
      </c>
      <c r="J214" s="3" t="s">
        <v>22</v>
      </c>
      <c r="K214" s="3" t="s">
        <v>17</v>
      </c>
      <c r="L214">
        <f t="shared" si="21"/>
        <v>2025</v>
      </c>
      <c r="M214">
        <f t="shared" si="18"/>
        <v>12</v>
      </c>
      <c r="N214" t="str">
        <f t="shared" si="19"/>
        <v>Dec</v>
      </c>
      <c r="O214" t="str">
        <f t="shared" si="20"/>
        <v>2025-12</v>
      </c>
      <c r="P214" t="str">
        <f t="shared" si="22"/>
        <v>2025-W51</v>
      </c>
      <c r="Q214" t="str">
        <f t="shared" si="23"/>
        <v>Mon</v>
      </c>
    </row>
    <row r="215" spans="1:17" x14ac:dyDescent="0.3">
      <c r="A215" s="2">
        <v>46007</v>
      </c>
      <c r="B215" s="3" t="s">
        <v>261</v>
      </c>
      <c r="C215" s="3" t="s">
        <v>38</v>
      </c>
      <c r="D215" s="3" t="s">
        <v>26</v>
      </c>
      <c r="E215" s="3" t="s">
        <v>48</v>
      </c>
      <c r="F215" s="3" t="s">
        <v>15</v>
      </c>
      <c r="G215" s="3">
        <v>40</v>
      </c>
      <c r="H215" s="4">
        <v>2330</v>
      </c>
      <c r="I215" s="4">
        <v>2100</v>
      </c>
      <c r="J215" s="3" t="s">
        <v>39</v>
      </c>
      <c r="K215" s="3" t="s">
        <v>17</v>
      </c>
      <c r="L215">
        <f t="shared" si="21"/>
        <v>2025</v>
      </c>
      <c r="M215">
        <f t="shared" si="18"/>
        <v>12</v>
      </c>
      <c r="N215" t="str">
        <f t="shared" si="19"/>
        <v>Dec</v>
      </c>
      <c r="O215" t="str">
        <f t="shared" si="20"/>
        <v>2025-12</v>
      </c>
      <c r="P215" t="str">
        <f t="shared" si="22"/>
        <v>2025-W51</v>
      </c>
      <c r="Q215" t="str">
        <f t="shared" si="23"/>
        <v>Tue</v>
      </c>
    </row>
    <row r="216" spans="1:17" x14ac:dyDescent="0.3">
      <c r="A216" s="2">
        <v>46008</v>
      </c>
      <c r="B216" s="3" t="s">
        <v>262</v>
      </c>
      <c r="C216" s="3" t="s">
        <v>38</v>
      </c>
      <c r="D216" s="3" t="s">
        <v>26</v>
      </c>
      <c r="E216" s="3" t="s">
        <v>29</v>
      </c>
      <c r="F216" s="3" t="s">
        <v>21</v>
      </c>
      <c r="G216" s="3">
        <v>70</v>
      </c>
      <c r="H216" s="4">
        <v>2489</v>
      </c>
      <c r="I216" s="4">
        <v>2500</v>
      </c>
      <c r="J216" s="3" t="s">
        <v>16</v>
      </c>
      <c r="K216" s="3" t="s">
        <v>36</v>
      </c>
      <c r="L216">
        <f t="shared" si="21"/>
        <v>2025</v>
      </c>
      <c r="M216">
        <f t="shared" si="18"/>
        <v>12</v>
      </c>
      <c r="N216" t="str">
        <f t="shared" si="19"/>
        <v>Dec</v>
      </c>
      <c r="O216" t="str">
        <f t="shared" si="20"/>
        <v>2025-12</v>
      </c>
      <c r="P216" t="str">
        <f t="shared" si="22"/>
        <v>2025-W51</v>
      </c>
      <c r="Q216" t="str">
        <f t="shared" si="23"/>
        <v>Wed</v>
      </c>
    </row>
    <row r="217" spans="1:17" x14ac:dyDescent="0.3">
      <c r="A217" s="2">
        <v>46008</v>
      </c>
      <c r="B217" s="3" t="s">
        <v>263</v>
      </c>
      <c r="C217" s="3" t="s">
        <v>91</v>
      </c>
      <c r="D217" s="3" t="s">
        <v>13</v>
      </c>
      <c r="E217" s="3" t="s">
        <v>41</v>
      </c>
      <c r="F217" s="3" t="s">
        <v>21</v>
      </c>
      <c r="G217" s="3">
        <v>59</v>
      </c>
      <c r="H217" s="4">
        <v>2496</v>
      </c>
      <c r="I217" s="4">
        <v>2300</v>
      </c>
      <c r="J217" s="3" t="s">
        <v>39</v>
      </c>
      <c r="K217" s="3" t="s">
        <v>23</v>
      </c>
      <c r="L217">
        <f t="shared" si="21"/>
        <v>2025</v>
      </c>
      <c r="M217">
        <f t="shared" si="18"/>
        <v>12</v>
      </c>
      <c r="N217" t="str">
        <f t="shared" si="19"/>
        <v>Dec</v>
      </c>
      <c r="O217" t="str">
        <f t="shared" si="20"/>
        <v>2025-12</v>
      </c>
      <c r="P217" t="str">
        <f t="shared" si="22"/>
        <v>2025-W51</v>
      </c>
      <c r="Q217" t="str">
        <f t="shared" si="23"/>
        <v>Wed</v>
      </c>
    </row>
    <row r="218" spans="1:17" x14ac:dyDescent="0.3">
      <c r="A218" s="2">
        <v>46008</v>
      </c>
      <c r="B218" s="3" t="s">
        <v>264</v>
      </c>
      <c r="C218" s="3" t="s">
        <v>38</v>
      </c>
      <c r="D218" s="3" t="s">
        <v>19</v>
      </c>
      <c r="E218" s="3" t="s">
        <v>41</v>
      </c>
      <c r="F218" s="3" t="s">
        <v>21</v>
      </c>
      <c r="G218" s="3">
        <v>100</v>
      </c>
      <c r="H218" s="4">
        <v>3927</v>
      </c>
      <c r="I218" s="4">
        <v>3600</v>
      </c>
      <c r="J218" s="3" t="s">
        <v>22</v>
      </c>
      <c r="K218" s="3" t="s">
        <v>36</v>
      </c>
      <c r="L218">
        <f t="shared" si="21"/>
        <v>2025</v>
      </c>
      <c r="M218">
        <f t="shared" si="18"/>
        <v>12</v>
      </c>
      <c r="N218" t="str">
        <f t="shared" si="19"/>
        <v>Dec</v>
      </c>
      <c r="O218" t="str">
        <f t="shared" si="20"/>
        <v>2025-12</v>
      </c>
      <c r="P218" t="str">
        <f t="shared" si="22"/>
        <v>2025-W51</v>
      </c>
      <c r="Q218" t="str">
        <f t="shared" si="23"/>
        <v>Wed</v>
      </c>
    </row>
    <row r="219" spans="1:17" x14ac:dyDescent="0.3">
      <c r="A219" s="2">
        <v>46008</v>
      </c>
      <c r="B219" s="3" t="s">
        <v>265</v>
      </c>
      <c r="C219" s="3" t="s">
        <v>91</v>
      </c>
      <c r="D219" s="3" t="s">
        <v>26</v>
      </c>
      <c r="E219" s="3" t="s">
        <v>41</v>
      </c>
      <c r="F219" s="3" t="s">
        <v>21</v>
      </c>
      <c r="G219" s="3">
        <v>37</v>
      </c>
      <c r="H219" s="4">
        <v>1628</v>
      </c>
      <c r="I219" s="4">
        <v>1500</v>
      </c>
      <c r="J219" s="3" t="s">
        <v>39</v>
      </c>
      <c r="K219" s="3" t="s">
        <v>17</v>
      </c>
      <c r="L219">
        <f t="shared" si="21"/>
        <v>2025</v>
      </c>
      <c r="M219">
        <f t="shared" si="18"/>
        <v>12</v>
      </c>
      <c r="N219" t="str">
        <f t="shared" si="19"/>
        <v>Dec</v>
      </c>
      <c r="O219" t="str">
        <f t="shared" si="20"/>
        <v>2025-12</v>
      </c>
      <c r="P219" t="str">
        <f t="shared" si="22"/>
        <v>2025-W51</v>
      </c>
      <c r="Q219" t="str">
        <f t="shared" si="23"/>
        <v>Wed</v>
      </c>
    </row>
    <row r="220" spans="1:17" x14ac:dyDescent="0.3">
      <c r="A220" s="2">
        <v>46009</v>
      </c>
      <c r="B220" s="3" t="s">
        <v>266</v>
      </c>
      <c r="C220" s="3" t="s">
        <v>43</v>
      </c>
      <c r="D220" s="3" t="s">
        <v>53</v>
      </c>
      <c r="E220" s="3" t="s">
        <v>68</v>
      </c>
      <c r="F220" s="3" t="s">
        <v>34</v>
      </c>
      <c r="G220" s="3">
        <v>109</v>
      </c>
      <c r="H220" s="4">
        <v>6988</v>
      </c>
      <c r="I220" s="4">
        <v>6600</v>
      </c>
      <c r="J220" s="3" t="s">
        <v>22</v>
      </c>
      <c r="K220" s="3" t="s">
        <v>36</v>
      </c>
      <c r="L220">
        <f t="shared" si="21"/>
        <v>2025</v>
      </c>
      <c r="M220">
        <f t="shared" si="18"/>
        <v>12</v>
      </c>
      <c r="N220" t="str">
        <f t="shared" si="19"/>
        <v>Dec</v>
      </c>
      <c r="O220" t="str">
        <f t="shared" si="20"/>
        <v>2025-12</v>
      </c>
      <c r="P220" t="str">
        <f t="shared" si="22"/>
        <v>2025-W51</v>
      </c>
      <c r="Q220" t="str">
        <f t="shared" si="23"/>
        <v>Thu</v>
      </c>
    </row>
    <row r="221" spans="1:17" x14ac:dyDescent="0.3">
      <c r="A221" s="2">
        <v>46009</v>
      </c>
      <c r="B221" s="3" t="s">
        <v>267</v>
      </c>
      <c r="C221" s="3" t="s">
        <v>25</v>
      </c>
      <c r="D221" s="3" t="s">
        <v>26</v>
      </c>
      <c r="E221" s="3" t="s">
        <v>33</v>
      </c>
      <c r="F221" s="3" t="s">
        <v>34</v>
      </c>
      <c r="G221" s="3">
        <v>116</v>
      </c>
      <c r="H221" s="4">
        <v>7694</v>
      </c>
      <c r="I221" s="4">
        <v>6400</v>
      </c>
      <c r="J221" s="3" t="s">
        <v>22</v>
      </c>
      <c r="K221" s="3" t="s">
        <v>36</v>
      </c>
      <c r="L221">
        <f t="shared" si="21"/>
        <v>2025</v>
      </c>
      <c r="M221">
        <f t="shared" si="18"/>
        <v>12</v>
      </c>
      <c r="N221" t="str">
        <f t="shared" si="19"/>
        <v>Dec</v>
      </c>
      <c r="O221" t="str">
        <f t="shared" si="20"/>
        <v>2025-12</v>
      </c>
      <c r="P221" t="str">
        <f t="shared" si="22"/>
        <v>2025-W51</v>
      </c>
      <c r="Q221" t="str">
        <f t="shared" si="23"/>
        <v>Thu</v>
      </c>
    </row>
    <row r="222" spans="1:17" x14ac:dyDescent="0.3">
      <c r="A222" s="2">
        <v>46009</v>
      </c>
      <c r="B222" s="3" t="s">
        <v>268</v>
      </c>
      <c r="C222" s="3" t="s">
        <v>38</v>
      </c>
      <c r="D222" s="3" t="s">
        <v>53</v>
      </c>
      <c r="E222" s="3" t="s">
        <v>44</v>
      </c>
      <c r="F222" s="3" t="s">
        <v>34</v>
      </c>
      <c r="G222" s="3">
        <v>5</v>
      </c>
      <c r="H222" s="4">
        <v>294</v>
      </c>
      <c r="I222" s="4">
        <v>300</v>
      </c>
      <c r="J222" s="3" t="s">
        <v>16</v>
      </c>
      <c r="K222" s="3" t="s">
        <v>30</v>
      </c>
      <c r="L222">
        <f t="shared" si="21"/>
        <v>2025</v>
      </c>
      <c r="M222">
        <f t="shared" si="18"/>
        <v>12</v>
      </c>
      <c r="N222" t="str">
        <f t="shared" si="19"/>
        <v>Dec</v>
      </c>
      <c r="O222" t="str">
        <f t="shared" si="20"/>
        <v>2025-12</v>
      </c>
      <c r="P222" t="str">
        <f t="shared" si="22"/>
        <v>2025-W51</v>
      </c>
      <c r="Q222" t="str">
        <f t="shared" si="23"/>
        <v>Thu</v>
      </c>
    </row>
    <row r="223" spans="1:17" x14ac:dyDescent="0.3">
      <c r="A223" s="2">
        <v>46010</v>
      </c>
      <c r="B223" s="3" t="s">
        <v>269</v>
      </c>
      <c r="C223" s="3" t="s">
        <v>38</v>
      </c>
      <c r="D223" s="3" t="s">
        <v>19</v>
      </c>
      <c r="E223" s="3" t="s">
        <v>41</v>
      </c>
      <c r="F223" s="3" t="s">
        <v>21</v>
      </c>
      <c r="G223" s="3">
        <v>97</v>
      </c>
      <c r="H223" s="4">
        <v>3574</v>
      </c>
      <c r="I223" s="4">
        <v>3100</v>
      </c>
      <c r="J223" s="3" t="s">
        <v>22</v>
      </c>
      <c r="K223" s="3" t="s">
        <v>36</v>
      </c>
      <c r="L223">
        <f t="shared" si="21"/>
        <v>2025</v>
      </c>
      <c r="M223">
        <f t="shared" si="18"/>
        <v>12</v>
      </c>
      <c r="N223" t="str">
        <f t="shared" si="19"/>
        <v>Dec</v>
      </c>
      <c r="O223" t="str">
        <f t="shared" si="20"/>
        <v>2025-12</v>
      </c>
      <c r="P223" t="str">
        <f t="shared" si="22"/>
        <v>2025-W51</v>
      </c>
      <c r="Q223" t="str">
        <f t="shared" si="23"/>
        <v>Fri</v>
      </c>
    </row>
    <row r="224" spans="1:17" x14ac:dyDescent="0.3">
      <c r="A224" s="2">
        <v>46010</v>
      </c>
      <c r="B224" s="3" t="s">
        <v>270</v>
      </c>
      <c r="C224" s="3" t="s">
        <v>57</v>
      </c>
      <c r="D224" s="3" t="s">
        <v>47</v>
      </c>
      <c r="E224" s="3" t="s">
        <v>20</v>
      </c>
      <c r="F224" s="3" t="s">
        <v>21</v>
      </c>
      <c r="G224" s="3">
        <v>109</v>
      </c>
      <c r="H224" s="4">
        <v>3698</v>
      </c>
      <c r="I224" s="4">
        <v>3200</v>
      </c>
      <c r="J224" s="3" t="s">
        <v>22</v>
      </c>
      <c r="K224" s="3" t="s">
        <v>30</v>
      </c>
      <c r="L224">
        <f t="shared" si="21"/>
        <v>2025</v>
      </c>
      <c r="M224">
        <f t="shared" si="18"/>
        <v>12</v>
      </c>
      <c r="N224" t="str">
        <f t="shared" si="19"/>
        <v>Dec</v>
      </c>
      <c r="O224" t="str">
        <f t="shared" si="20"/>
        <v>2025-12</v>
      </c>
      <c r="P224" t="str">
        <f t="shared" si="22"/>
        <v>2025-W51</v>
      </c>
      <c r="Q224" t="str">
        <f t="shared" si="23"/>
        <v>Fri</v>
      </c>
    </row>
    <row r="225" spans="1:17" x14ac:dyDescent="0.3">
      <c r="A225" s="2">
        <v>46010</v>
      </c>
      <c r="B225" s="3" t="s">
        <v>271</v>
      </c>
      <c r="C225" s="3" t="s">
        <v>57</v>
      </c>
      <c r="D225" s="3" t="s">
        <v>19</v>
      </c>
      <c r="E225" s="3" t="s">
        <v>33</v>
      </c>
      <c r="F225" s="3" t="s">
        <v>34</v>
      </c>
      <c r="G225" s="3">
        <v>94</v>
      </c>
      <c r="H225" s="4">
        <v>5378</v>
      </c>
      <c r="I225" s="4">
        <v>5900</v>
      </c>
      <c r="J225" s="3" t="s">
        <v>22</v>
      </c>
      <c r="K225" s="3" t="s">
        <v>36</v>
      </c>
      <c r="L225">
        <f t="shared" si="21"/>
        <v>2025</v>
      </c>
      <c r="M225">
        <f t="shared" si="18"/>
        <v>12</v>
      </c>
      <c r="N225" t="str">
        <f t="shared" si="19"/>
        <v>Dec</v>
      </c>
      <c r="O225" t="str">
        <f t="shared" si="20"/>
        <v>2025-12</v>
      </c>
      <c r="P225" t="str">
        <f t="shared" si="22"/>
        <v>2025-W51</v>
      </c>
      <c r="Q225" t="str">
        <f t="shared" si="23"/>
        <v>Fri</v>
      </c>
    </row>
    <row r="226" spans="1:17" x14ac:dyDescent="0.3">
      <c r="A226" s="2">
        <v>46011</v>
      </c>
      <c r="B226" s="3" t="s">
        <v>272</v>
      </c>
      <c r="C226" s="3" t="s">
        <v>12</v>
      </c>
      <c r="D226" s="3" t="s">
        <v>65</v>
      </c>
      <c r="E226" s="3" t="s">
        <v>48</v>
      </c>
      <c r="F226" s="3" t="s">
        <v>15</v>
      </c>
      <c r="G226" s="3">
        <v>23</v>
      </c>
      <c r="H226" s="4">
        <v>1018</v>
      </c>
      <c r="I226" s="4">
        <v>800</v>
      </c>
      <c r="J226" s="3" t="s">
        <v>39</v>
      </c>
      <c r="K226" s="3" t="s">
        <v>36</v>
      </c>
      <c r="L226">
        <f t="shared" si="21"/>
        <v>2025</v>
      </c>
      <c r="M226">
        <f t="shared" si="18"/>
        <v>12</v>
      </c>
      <c r="N226" t="str">
        <f t="shared" si="19"/>
        <v>Dec</v>
      </c>
      <c r="O226" t="str">
        <f t="shared" si="20"/>
        <v>2025-12</v>
      </c>
      <c r="P226" t="str">
        <f t="shared" si="22"/>
        <v>2025-W51</v>
      </c>
      <c r="Q226" t="str">
        <f t="shared" si="23"/>
        <v>Sat</v>
      </c>
    </row>
    <row r="227" spans="1:17" x14ac:dyDescent="0.3">
      <c r="A227" s="2">
        <v>46012</v>
      </c>
      <c r="B227" s="3" t="s">
        <v>273</v>
      </c>
      <c r="C227" s="3" t="s">
        <v>50</v>
      </c>
      <c r="D227" s="3" t="s">
        <v>65</v>
      </c>
      <c r="E227" s="3" t="s">
        <v>20</v>
      </c>
      <c r="F227" s="3" t="s">
        <v>21</v>
      </c>
      <c r="G227" s="3">
        <v>95</v>
      </c>
      <c r="H227" s="4">
        <v>3949</v>
      </c>
      <c r="I227" s="4">
        <v>4100</v>
      </c>
      <c r="J227" s="3" t="s">
        <v>22</v>
      </c>
      <c r="K227" s="3" t="s">
        <v>36</v>
      </c>
      <c r="L227">
        <f t="shared" si="21"/>
        <v>2025</v>
      </c>
      <c r="M227">
        <f t="shared" si="18"/>
        <v>12</v>
      </c>
      <c r="N227" t="str">
        <f t="shared" si="19"/>
        <v>Dec</v>
      </c>
      <c r="O227" t="str">
        <f t="shared" si="20"/>
        <v>2025-12</v>
      </c>
      <c r="P227" t="str">
        <f t="shared" si="22"/>
        <v>2025-W51</v>
      </c>
      <c r="Q227" t="str">
        <f t="shared" si="23"/>
        <v>Sun</v>
      </c>
    </row>
    <row r="228" spans="1:17" x14ac:dyDescent="0.3">
      <c r="A228" s="2">
        <v>46012</v>
      </c>
      <c r="B228" s="3" t="s">
        <v>274</v>
      </c>
      <c r="C228" s="3" t="s">
        <v>32</v>
      </c>
      <c r="D228" s="3" t="s">
        <v>26</v>
      </c>
      <c r="E228" s="3" t="s">
        <v>27</v>
      </c>
      <c r="F228" s="3" t="s">
        <v>15</v>
      </c>
      <c r="G228" s="3">
        <v>18</v>
      </c>
      <c r="H228" s="4">
        <v>930</v>
      </c>
      <c r="I228" s="4">
        <v>1000</v>
      </c>
      <c r="J228" s="3" t="s">
        <v>16</v>
      </c>
      <c r="K228" s="3" t="s">
        <v>17</v>
      </c>
      <c r="L228">
        <f t="shared" si="21"/>
        <v>2025</v>
      </c>
      <c r="M228">
        <f t="shared" si="18"/>
        <v>12</v>
      </c>
      <c r="N228" t="str">
        <f t="shared" si="19"/>
        <v>Dec</v>
      </c>
      <c r="O228" t="str">
        <f t="shared" si="20"/>
        <v>2025-12</v>
      </c>
      <c r="P228" t="str">
        <f t="shared" si="22"/>
        <v>2025-W51</v>
      </c>
      <c r="Q228" t="str">
        <f t="shared" si="23"/>
        <v>Sun</v>
      </c>
    </row>
    <row r="229" spans="1:17" x14ac:dyDescent="0.3">
      <c r="A229" s="2">
        <v>46012</v>
      </c>
      <c r="B229" s="3" t="s">
        <v>275</v>
      </c>
      <c r="C229" s="3" t="s">
        <v>57</v>
      </c>
      <c r="D229" s="3" t="s">
        <v>19</v>
      </c>
      <c r="E229" s="3" t="s">
        <v>123</v>
      </c>
      <c r="F229" s="3" t="s">
        <v>59</v>
      </c>
      <c r="G229" s="3">
        <v>22</v>
      </c>
      <c r="H229" s="4">
        <v>2480</v>
      </c>
      <c r="I229" s="4">
        <v>2900</v>
      </c>
      <c r="J229" s="3" t="s">
        <v>22</v>
      </c>
      <c r="K229" s="3" t="s">
        <v>23</v>
      </c>
      <c r="L229">
        <f t="shared" si="21"/>
        <v>2025</v>
      </c>
      <c r="M229">
        <f t="shared" si="18"/>
        <v>12</v>
      </c>
      <c r="N229" t="str">
        <f t="shared" si="19"/>
        <v>Dec</v>
      </c>
      <c r="O229" t="str">
        <f t="shared" si="20"/>
        <v>2025-12</v>
      </c>
      <c r="P229" t="str">
        <f t="shared" si="22"/>
        <v>2025-W51</v>
      </c>
      <c r="Q229" t="str">
        <f t="shared" si="23"/>
        <v>Sun</v>
      </c>
    </row>
    <row r="230" spans="1:17" x14ac:dyDescent="0.3">
      <c r="A230" s="2">
        <v>46013</v>
      </c>
      <c r="B230" s="3" t="s">
        <v>276</v>
      </c>
      <c r="C230" s="3" t="s">
        <v>12</v>
      </c>
      <c r="D230" s="3" t="s">
        <v>65</v>
      </c>
      <c r="E230" s="3" t="s">
        <v>123</v>
      </c>
      <c r="F230" s="3" t="s">
        <v>59</v>
      </c>
      <c r="G230" s="3">
        <v>71</v>
      </c>
      <c r="H230" s="4">
        <v>8038</v>
      </c>
      <c r="I230" s="4">
        <v>8600</v>
      </c>
      <c r="J230" s="3" t="s">
        <v>22</v>
      </c>
      <c r="K230" s="3" t="s">
        <v>36</v>
      </c>
      <c r="L230">
        <f t="shared" si="21"/>
        <v>2025</v>
      </c>
      <c r="M230">
        <f t="shared" si="18"/>
        <v>12</v>
      </c>
      <c r="N230" t="str">
        <f t="shared" si="19"/>
        <v>Dec</v>
      </c>
      <c r="O230" t="str">
        <f t="shared" si="20"/>
        <v>2025-12</v>
      </c>
      <c r="P230" t="str">
        <f t="shared" si="22"/>
        <v>2025-W52</v>
      </c>
      <c r="Q230" t="str">
        <f t="shared" si="23"/>
        <v>Mon</v>
      </c>
    </row>
    <row r="231" spans="1:17" x14ac:dyDescent="0.3">
      <c r="A231" s="2">
        <v>46013</v>
      </c>
      <c r="B231" s="3" t="s">
        <v>277</v>
      </c>
      <c r="C231" s="3" t="s">
        <v>50</v>
      </c>
      <c r="D231" s="3" t="s">
        <v>26</v>
      </c>
      <c r="E231" s="3" t="s">
        <v>41</v>
      </c>
      <c r="F231" s="3" t="s">
        <v>21</v>
      </c>
      <c r="G231" s="3">
        <v>116</v>
      </c>
      <c r="H231" s="4">
        <v>3983</v>
      </c>
      <c r="I231" s="4">
        <v>4000</v>
      </c>
      <c r="J231" s="3" t="s">
        <v>22</v>
      </c>
      <c r="K231" s="3" t="s">
        <v>36</v>
      </c>
      <c r="L231">
        <f t="shared" si="21"/>
        <v>2025</v>
      </c>
      <c r="M231">
        <f t="shared" si="18"/>
        <v>12</v>
      </c>
      <c r="N231" t="str">
        <f t="shared" si="19"/>
        <v>Dec</v>
      </c>
      <c r="O231" t="str">
        <f t="shared" si="20"/>
        <v>2025-12</v>
      </c>
      <c r="P231" t="str">
        <f t="shared" si="22"/>
        <v>2025-W52</v>
      </c>
      <c r="Q231" t="str">
        <f t="shared" si="23"/>
        <v>Mon</v>
      </c>
    </row>
    <row r="232" spans="1:17" x14ac:dyDescent="0.3">
      <c r="A232" s="2">
        <v>46013</v>
      </c>
      <c r="B232" s="3" t="s">
        <v>278</v>
      </c>
      <c r="C232" s="3" t="s">
        <v>38</v>
      </c>
      <c r="D232" s="3" t="s">
        <v>26</v>
      </c>
      <c r="E232" s="3" t="s">
        <v>27</v>
      </c>
      <c r="F232" s="3" t="s">
        <v>15</v>
      </c>
      <c r="G232" s="3">
        <v>83</v>
      </c>
      <c r="H232" s="4">
        <v>4992</v>
      </c>
      <c r="I232" s="4">
        <v>4600</v>
      </c>
      <c r="J232" s="3" t="s">
        <v>22</v>
      </c>
      <c r="K232" s="3" t="s">
        <v>30</v>
      </c>
      <c r="L232">
        <f t="shared" si="21"/>
        <v>2025</v>
      </c>
      <c r="M232">
        <f t="shared" si="18"/>
        <v>12</v>
      </c>
      <c r="N232" t="str">
        <f t="shared" si="19"/>
        <v>Dec</v>
      </c>
      <c r="O232" t="str">
        <f t="shared" si="20"/>
        <v>2025-12</v>
      </c>
      <c r="P232" t="str">
        <f t="shared" si="22"/>
        <v>2025-W52</v>
      </c>
      <c r="Q232" t="str">
        <f t="shared" si="23"/>
        <v>Mon</v>
      </c>
    </row>
    <row r="233" spans="1:17" x14ac:dyDescent="0.3">
      <c r="A233" s="2">
        <v>46014</v>
      </c>
      <c r="B233" s="3" t="s">
        <v>279</v>
      </c>
      <c r="C233" s="3" t="s">
        <v>12</v>
      </c>
      <c r="D233" s="3" t="s">
        <v>19</v>
      </c>
      <c r="E233" s="3" t="s">
        <v>29</v>
      </c>
      <c r="F233" s="3" t="s">
        <v>21</v>
      </c>
      <c r="G233" s="3">
        <v>7</v>
      </c>
      <c r="H233" s="4">
        <v>230</v>
      </c>
      <c r="I233" s="4">
        <v>300</v>
      </c>
      <c r="J233" s="3" t="s">
        <v>22</v>
      </c>
      <c r="K233" s="3" t="s">
        <v>30</v>
      </c>
      <c r="L233">
        <f t="shared" si="21"/>
        <v>2025</v>
      </c>
      <c r="M233">
        <f t="shared" si="18"/>
        <v>12</v>
      </c>
      <c r="N233" t="str">
        <f t="shared" si="19"/>
        <v>Dec</v>
      </c>
      <c r="O233" t="str">
        <f t="shared" si="20"/>
        <v>2025-12</v>
      </c>
      <c r="P233" t="str">
        <f t="shared" si="22"/>
        <v>2025-W52</v>
      </c>
      <c r="Q233" t="str">
        <f t="shared" si="23"/>
        <v>Tue</v>
      </c>
    </row>
    <row r="234" spans="1:17" x14ac:dyDescent="0.3">
      <c r="A234" s="2">
        <v>46015</v>
      </c>
      <c r="B234" s="3" t="s">
        <v>280</v>
      </c>
      <c r="C234" s="3" t="s">
        <v>12</v>
      </c>
      <c r="D234" s="3" t="s">
        <v>26</v>
      </c>
      <c r="E234" s="3" t="s">
        <v>41</v>
      </c>
      <c r="F234" s="3" t="s">
        <v>21</v>
      </c>
      <c r="G234" s="3">
        <v>54</v>
      </c>
      <c r="H234" s="4">
        <v>2079</v>
      </c>
      <c r="I234" s="4">
        <v>2000</v>
      </c>
      <c r="J234" s="3" t="s">
        <v>39</v>
      </c>
      <c r="K234" s="3" t="s">
        <v>30</v>
      </c>
      <c r="L234">
        <f t="shared" si="21"/>
        <v>2025</v>
      </c>
      <c r="M234">
        <f t="shared" si="18"/>
        <v>12</v>
      </c>
      <c r="N234" t="str">
        <f t="shared" si="19"/>
        <v>Dec</v>
      </c>
      <c r="O234" t="str">
        <f t="shared" si="20"/>
        <v>2025-12</v>
      </c>
      <c r="P234" t="str">
        <f t="shared" si="22"/>
        <v>2025-W52</v>
      </c>
      <c r="Q234" t="str">
        <f t="shared" si="23"/>
        <v>Wed</v>
      </c>
    </row>
    <row r="235" spans="1:17" x14ac:dyDescent="0.3">
      <c r="A235" s="2">
        <v>46015</v>
      </c>
      <c r="B235" s="3" t="s">
        <v>281</v>
      </c>
      <c r="C235" s="3" t="s">
        <v>32</v>
      </c>
      <c r="D235" s="3" t="s">
        <v>26</v>
      </c>
      <c r="E235" s="3" t="s">
        <v>41</v>
      </c>
      <c r="F235" s="3" t="s">
        <v>21</v>
      </c>
      <c r="G235" s="3">
        <v>23</v>
      </c>
      <c r="H235" s="4">
        <v>778</v>
      </c>
      <c r="I235" s="4">
        <v>700</v>
      </c>
      <c r="J235" s="3" t="s">
        <v>22</v>
      </c>
      <c r="K235" s="3" t="s">
        <v>17</v>
      </c>
      <c r="L235">
        <f t="shared" si="21"/>
        <v>2025</v>
      </c>
      <c r="M235">
        <f t="shared" si="18"/>
        <v>12</v>
      </c>
      <c r="N235" t="str">
        <f t="shared" si="19"/>
        <v>Dec</v>
      </c>
      <c r="O235" t="str">
        <f t="shared" si="20"/>
        <v>2025-12</v>
      </c>
      <c r="P235" t="str">
        <f t="shared" si="22"/>
        <v>2025-W52</v>
      </c>
      <c r="Q235" t="str">
        <f t="shared" si="23"/>
        <v>Wed</v>
      </c>
    </row>
    <row r="236" spans="1:17" x14ac:dyDescent="0.3">
      <c r="A236" s="2">
        <v>46015</v>
      </c>
      <c r="B236" s="3" t="s">
        <v>282</v>
      </c>
      <c r="C236" s="3" t="s">
        <v>32</v>
      </c>
      <c r="D236" s="3" t="s">
        <v>53</v>
      </c>
      <c r="E236" s="3" t="s">
        <v>61</v>
      </c>
      <c r="F236" s="3" t="s">
        <v>59</v>
      </c>
      <c r="G236" s="3">
        <v>40</v>
      </c>
      <c r="H236" s="4">
        <v>3357</v>
      </c>
      <c r="I236" s="4">
        <v>3000</v>
      </c>
      <c r="J236" s="3" t="s">
        <v>22</v>
      </c>
      <c r="K236" s="3" t="s">
        <v>36</v>
      </c>
      <c r="L236">
        <f t="shared" si="21"/>
        <v>2025</v>
      </c>
      <c r="M236">
        <f t="shared" si="18"/>
        <v>12</v>
      </c>
      <c r="N236" t="str">
        <f t="shared" si="19"/>
        <v>Dec</v>
      </c>
      <c r="O236" t="str">
        <f t="shared" si="20"/>
        <v>2025-12</v>
      </c>
      <c r="P236" t="str">
        <f t="shared" si="22"/>
        <v>2025-W52</v>
      </c>
      <c r="Q236" t="str">
        <f t="shared" si="23"/>
        <v>Wed</v>
      </c>
    </row>
    <row r="237" spans="1:17" x14ac:dyDescent="0.3">
      <c r="A237" s="2">
        <v>46015</v>
      </c>
      <c r="B237" s="3" t="s">
        <v>283</v>
      </c>
      <c r="C237" s="3" t="s">
        <v>43</v>
      </c>
      <c r="D237" s="3" t="s">
        <v>65</v>
      </c>
      <c r="E237" s="3" t="s">
        <v>14</v>
      </c>
      <c r="F237" s="3" t="s">
        <v>15</v>
      </c>
      <c r="G237" s="3">
        <v>85</v>
      </c>
      <c r="H237" s="4">
        <v>4501</v>
      </c>
      <c r="I237" s="4">
        <v>5000</v>
      </c>
      <c r="J237" s="3" t="s">
        <v>39</v>
      </c>
      <c r="K237" s="3" t="s">
        <v>36</v>
      </c>
      <c r="L237">
        <f t="shared" si="21"/>
        <v>2025</v>
      </c>
      <c r="M237">
        <f t="shared" si="18"/>
        <v>12</v>
      </c>
      <c r="N237" t="str">
        <f t="shared" si="19"/>
        <v>Dec</v>
      </c>
      <c r="O237" t="str">
        <f t="shared" si="20"/>
        <v>2025-12</v>
      </c>
      <c r="P237" t="str">
        <f t="shared" si="22"/>
        <v>2025-W52</v>
      </c>
      <c r="Q237" t="str">
        <f t="shared" si="23"/>
        <v>Wed</v>
      </c>
    </row>
    <row r="238" spans="1:17" x14ac:dyDescent="0.3">
      <c r="A238" s="2">
        <v>46015</v>
      </c>
      <c r="B238" s="3" t="s">
        <v>284</v>
      </c>
      <c r="C238" s="3" t="s">
        <v>38</v>
      </c>
      <c r="D238" s="3" t="s">
        <v>19</v>
      </c>
      <c r="E238" s="3" t="s">
        <v>20</v>
      </c>
      <c r="F238" s="3" t="s">
        <v>21</v>
      </c>
      <c r="G238" s="3">
        <v>5</v>
      </c>
      <c r="H238" s="4">
        <v>157</v>
      </c>
      <c r="I238" s="4">
        <v>200</v>
      </c>
      <c r="J238" s="3" t="s">
        <v>22</v>
      </c>
      <c r="K238" s="3" t="s">
        <v>36</v>
      </c>
      <c r="L238">
        <f t="shared" si="21"/>
        <v>2025</v>
      </c>
      <c r="M238">
        <f t="shared" si="18"/>
        <v>12</v>
      </c>
      <c r="N238" t="str">
        <f t="shared" si="19"/>
        <v>Dec</v>
      </c>
      <c r="O238" t="str">
        <f t="shared" si="20"/>
        <v>2025-12</v>
      </c>
      <c r="P238" t="str">
        <f t="shared" si="22"/>
        <v>2025-W52</v>
      </c>
      <c r="Q238" t="str">
        <f t="shared" si="23"/>
        <v>Wed</v>
      </c>
    </row>
    <row r="239" spans="1:17" x14ac:dyDescent="0.3">
      <c r="A239" s="2">
        <v>46016</v>
      </c>
      <c r="B239" s="3" t="s">
        <v>285</v>
      </c>
      <c r="C239" s="3" t="s">
        <v>57</v>
      </c>
      <c r="D239" s="3" t="s">
        <v>47</v>
      </c>
      <c r="E239" s="3" t="s">
        <v>29</v>
      </c>
      <c r="F239" s="3" t="s">
        <v>21</v>
      </c>
      <c r="G239" s="3">
        <v>92</v>
      </c>
      <c r="H239" s="4">
        <v>2983</v>
      </c>
      <c r="I239" s="4">
        <v>2900</v>
      </c>
      <c r="J239" s="3" t="s">
        <v>22</v>
      </c>
      <c r="K239" s="3" t="s">
        <v>17</v>
      </c>
      <c r="L239">
        <f t="shared" si="21"/>
        <v>2025</v>
      </c>
      <c r="M239">
        <f t="shared" si="18"/>
        <v>12</v>
      </c>
      <c r="N239" t="str">
        <f t="shared" si="19"/>
        <v>Dec</v>
      </c>
      <c r="O239" t="str">
        <f t="shared" si="20"/>
        <v>2025-12</v>
      </c>
      <c r="P239" t="str">
        <f t="shared" si="22"/>
        <v>2025-W52</v>
      </c>
      <c r="Q239" t="str">
        <f t="shared" si="23"/>
        <v>Thu</v>
      </c>
    </row>
    <row r="240" spans="1:17" x14ac:dyDescent="0.3">
      <c r="A240" s="2">
        <v>46017</v>
      </c>
      <c r="B240" s="3" t="s">
        <v>286</v>
      </c>
      <c r="C240" s="3" t="s">
        <v>43</v>
      </c>
      <c r="D240" s="3" t="s">
        <v>19</v>
      </c>
      <c r="E240" s="3" t="s">
        <v>68</v>
      </c>
      <c r="F240" s="3" t="s">
        <v>34</v>
      </c>
      <c r="G240" s="3">
        <v>33</v>
      </c>
      <c r="H240" s="4">
        <v>1738</v>
      </c>
      <c r="I240" s="4">
        <v>1700</v>
      </c>
      <c r="J240" s="3" t="s">
        <v>39</v>
      </c>
      <c r="K240" s="3" t="s">
        <v>30</v>
      </c>
      <c r="L240">
        <f t="shared" si="21"/>
        <v>2025</v>
      </c>
      <c r="M240">
        <f t="shared" si="18"/>
        <v>12</v>
      </c>
      <c r="N240" t="str">
        <f t="shared" si="19"/>
        <v>Dec</v>
      </c>
      <c r="O240" t="str">
        <f t="shared" si="20"/>
        <v>2025-12</v>
      </c>
      <c r="P240" t="str">
        <f t="shared" si="22"/>
        <v>2025-W52</v>
      </c>
      <c r="Q240" t="str">
        <f t="shared" si="23"/>
        <v>Fri</v>
      </c>
    </row>
    <row r="241" spans="1:17" x14ac:dyDescent="0.3">
      <c r="A241" s="2">
        <v>46017</v>
      </c>
      <c r="B241" s="3" t="s">
        <v>287</v>
      </c>
      <c r="C241" s="3" t="s">
        <v>32</v>
      </c>
      <c r="D241" s="3" t="s">
        <v>26</v>
      </c>
      <c r="E241" s="3" t="s">
        <v>68</v>
      </c>
      <c r="F241" s="3" t="s">
        <v>34</v>
      </c>
      <c r="G241" s="3">
        <v>37</v>
      </c>
      <c r="H241" s="4">
        <v>2128</v>
      </c>
      <c r="I241" s="4">
        <v>2600</v>
      </c>
      <c r="J241" s="3" t="s">
        <v>16</v>
      </c>
      <c r="K241" s="3" t="s">
        <v>36</v>
      </c>
      <c r="L241">
        <f t="shared" si="21"/>
        <v>2025</v>
      </c>
      <c r="M241">
        <f t="shared" si="18"/>
        <v>12</v>
      </c>
      <c r="N241" t="str">
        <f t="shared" si="19"/>
        <v>Dec</v>
      </c>
      <c r="O241" t="str">
        <f t="shared" si="20"/>
        <v>2025-12</v>
      </c>
      <c r="P241" t="str">
        <f t="shared" si="22"/>
        <v>2025-W52</v>
      </c>
      <c r="Q241" t="str">
        <f t="shared" si="23"/>
        <v>Fri</v>
      </c>
    </row>
    <row r="242" spans="1:17" x14ac:dyDescent="0.3">
      <c r="A242" s="2">
        <v>46017</v>
      </c>
      <c r="B242" s="3" t="s">
        <v>288</v>
      </c>
      <c r="C242" s="3" t="s">
        <v>12</v>
      </c>
      <c r="D242" s="3" t="s">
        <v>13</v>
      </c>
      <c r="E242" s="3" t="s">
        <v>58</v>
      </c>
      <c r="F242" s="3" t="s">
        <v>59</v>
      </c>
      <c r="G242" s="3">
        <v>11</v>
      </c>
      <c r="H242" s="4">
        <v>935</v>
      </c>
      <c r="I242" s="4">
        <v>900</v>
      </c>
      <c r="J242" s="3" t="s">
        <v>39</v>
      </c>
      <c r="K242" s="3" t="s">
        <v>36</v>
      </c>
      <c r="L242">
        <f t="shared" si="21"/>
        <v>2025</v>
      </c>
      <c r="M242">
        <f t="shared" si="18"/>
        <v>12</v>
      </c>
      <c r="N242" t="str">
        <f t="shared" si="19"/>
        <v>Dec</v>
      </c>
      <c r="O242" t="str">
        <f t="shared" si="20"/>
        <v>2025-12</v>
      </c>
      <c r="P242" t="str">
        <f t="shared" si="22"/>
        <v>2025-W52</v>
      </c>
      <c r="Q242" t="str">
        <f t="shared" si="23"/>
        <v>Fri</v>
      </c>
    </row>
    <row r="243" spans="1:17" x14ac:dyDescent="0.3">
      <c r="A243" s="2">
        <v>46018</v>
      </c>
      <c r="B243" s="3" t="s">
        <v>289</v>
      </c>
      <c r="C243" s="3" t="s">
        <v>12</v>
      </c>
      <c r="D243" s="3" t="s">
        <v>65</v>
      </c>
      <c r="E243" s="3" t="s">
        <v>20</v>
      </c>
      <c r="F243" s="3" t="s">
        <v>21</v>
      </c>
      <c r="G243" s="3">
        <v>48</v>
      </c>
      <c r="H243" s="4">
        <v>2065</v>
      </c>
      <c r="I243" s="4">
        <v>1900</v>
      </c>
      <c r="J243" s="3" t="s">
        <v>39</v>
      </c>
      <c r="K243" s="3" t="s">
        <v>36</v>
      </c>
      <c r="L243">
        <f t="shared" si="21"/>
        <v>2025</v>
      </c>
      <c r="M243">
        <f t="shared" si="18"/>
        <v>12</v>
      </c>
      <c r="N243" t="str">
        <f t="shared" si="19"/>
        <v>Dec</v>
      </c>
      <c r="O243" t="str">
        <f t="shared" si="20"/>
        <v>2025-12</v>
      </c>
      <c r="P243" t="str">
        <f t="shared" si="22"/>
        <v>2025-W52</v>
      </c>
      <c r="Q243" t="str">
        <f t="shared" si="23"/>
        <v>Sat</v>
      </c>
    </row>
    <row r="244" spans="1:17" x14ac:dyDescent="0.3">
      <c r="A244" s="2">
        <v>46018</v>
      </c>
      <c r="B244" s="3" t="s">
        <v>290</v>
      </c>
      <c r="C244" s="3" t="s">
        <v>91</v>
      </c>
      <c r="D244" s="3" t="s">
        <v>53</v>
      </c>
      <c r="E244" s="3" t="s">
        <v>44</v>
      </c>
      <c r="F244" s="3" t="s">
        <v>34</v>
      </c>
      <c r="G244" s="3">
        <v>56</v>
      </c>
      <c r="H244" s="4">
        <v>2787</v>
      </c>
      <c r="I244" s="4">
        <v>3300</v>
      </c>
      <c r="J244" s="3" t="s">
        <v>22</v>
      </c>
      <c r="K244" s="3" t="s">
        <v>36</v>
      </c>
      <c r="L244">
        <f t="shared" si="21"/>
        <v>2025</v>
      </c>
      <c r="M244">
        <f t="shared" si="18"/>
        <v>12</v>
      </c>
      <c r="N244" t="str">
        <f t="shared" si="19"/>
        <v>Dec</v>
      </c>
      <c r="O244" t="str">
        <f t="shared" si="20"/>
        <v>2025-12</v>
      </c>
      <c r="P244" t="str">
        <f t="shared" si="22"/>
        <v>2025-W52</v>
      </c>
      <c r="Q244" t="str">
        <f t="shared" si="23"/>
        <v>Sat</v>
      </c>
    </row>
    <row r="245" spans="1:17" x14ac:dyDescent="0.3">
      <c r="A245" s="2">
        <v>46019</v>
      </c>
      <c r="B245" s="3" t="s">
        <v>291</v>
      </c>
      <c r="C245" s="3" t="s">
        <v>50</v>
      </c>
      <c r="D245" s="3" t="s">
        <v>65</v>
      </c>
      <c r="E245" s="3" t="s">
        <v>44</v>
      </c>
      <c r="F245" s="3" t="s">
        <v>34</v>
      </c>
      <c r="G245" s="3">
        <v>104</v>
      </c>
      <c r="H245" s="4">
        <v>6563</v>
      </c>
      <c r="I245" s="4">
        <v>7600</v>
      </c>
      <c r="J245" s="3" t="s">
        <v>22</v>
      </c>
      <c r="K245" s="3" t="s">
        <v>36</v>
      </c>
      <c r="L245">
        <f t="shared" si="21"/>
        <v>2025</v>
      </c>
      <c r="M245">
        <f t="shared" si="18"/>
        <v>12</v>
      </c>
      <c r="N245" t="str">
        <f t="shared" si="19"/>
        <v>Dec</v>
      </c>
      <c r="O245" t="str">
        <f t="shared" si="20"/>
        <v>2025-12</v>
      </c>
      <c r="P245" t="str">
        <f t="shared" si="22"/>
        <v>2025-W52</v>
      </c>
      <c r="Q245" t="str">
        <f t="shared" si="23"/>
        <v>Sun</v>
      </c>
    </row>
    <row r="246" spans="1:17" x14ac:dyDescent="0.3">
      <c r="A246" s="2">
        <v>46019</v>
      </c>
      <c r="B246" s="3" t="s">
        <v>292</v>
      </c>
      <c r="C246" s="3" t="s">
        <v>38</v>
      </c>
      <c r="D246" s="3" t="s">
        <v>65</v>
      </c>
      <c r="E246" s="3" t="s">
        <v>48</v>
      </c>
      <c r="F246" s="3" t="s">
        <v>15</v>
      </c>
      <c r="G246" s="3">
        <v>90</v>
      </c>
      <c r="H246" s="4">
        <v>5376</v>
      </c>
      <c r="I246" s="4">
        <v>4900</v>
      </c>
      <c r="J246" s="3" t="s">
        <v>39</v>
      </c>
      <c r="K246" s="3" t="s">
        <v>30</v>
      </c>
      <c r="L246">
        <f t="shared" si="21"/>
        <v>2025</v>
      </c>
      <c r="M246">
        <f t="shared" si="18"/>
        <v>12</v>
      </c>
      <c r="N246" t="str">
        <f t="shared" si="19"/>
        <v>Dec</v>
      </c>
      <c r="O246" t="str">
        <f t="shared" si="20"/>
        <v>2025-12</v>
      </c>
      <c r="P246" t="str">
        <f t="shared" si="22"/>
        <v>2025-W52</v>
      </c>
      <c r="Q246" t="str">
        <f t="shared" si="23"/>
        <v>Sun</v>
      </c>
    </row>
    <row r="247" spans="1:17" x14ac:dyDescent="0.3">
      <c r="A247" s="2">
        <v>46020</v>
      </c>
      <c r="B247" s="3" t="s">
        <v>293</v>
      </c>
      <c r="C247" s="3" t="s">
        <v>38</v>
      </c>
      <c r="D247" s="3" t="s">
        <v>53</v>
      </c>
      <c r="E247" s="3" t="s">
        <v>27</v>
      </c>
      <c r="F247" s="3" t="s">
        <v>15</v>
      </c>
      <c r="G247" s="3">
        <v>22</v>
      </c>
      <c r="H247" s="4">
        <v>1070</v>
      </c>
      <c r="I247" s="4">
        <v>1000</v>
      </c>
      <c r="J247" s="3" t="s">
        <v>39</v>
      </c>
      <c r="K247" s="3" t="s">
        <v>30</v>
      </c>
      <c r="L247">
        <f t="shared" si="21"/>
        <v>2025</v>
      </c>
      <c r="M247">
        <f t="shared" si="18"/>
        <v>12</v>
      </c>
      <c r="N247" t="str">
        <f t="shared" si="19"/>
        <v>Dec</v>
      </c>
      <c r="O247" t="str">
        <f t="shared" si="20"/>
        <v>2025-12</v>
      </c>
      <c r="P247" t="str">
        <f t="shared" si="22"/>
        <v>2025-W53</v>
      </c>
      <c r="Q247" t="str">
        <f t="shared" si="23"/>
        <v>Mon</v>
      </c>
    </row>
    <row r="248" spans="1:17" x14ac:dyDescent="0.3">
      <c r="A248" s="2">
        <v>46021</v>
      </c>
      <c r="B248" s="3" t="s">
        <v>294</v>
      </c>
      <c r="C248" s="3" t="s">
        <v>91</v>
      </c>
      <c r="D248" s="3" t="s">
        <v>53</v>
      </c>
      <c r="E248" s="3" t="s">
        <v>14</v>
      </c>
      <c r="F248" s="3" t="s">
        <v>15</v>
      </c>
      <c r="G248" s="3">
        <v>73</v>
      </c>
      <c r="H248" s="4">
        <v>3976</v>
      </c>
      <c r="I248" s="4">
        <v>4700</v>
      </c>
      <c r="J248" s="3" t="s">
        <v>22</v>
      </c>
      <c r="K248" s="3" t="s">
        <v>23</v>
      </c>
      <c r="L248">
        <f t="shared" si="21"/>
        <v>2025</v>
      </c>
      <c r="M248">
        <f t="shared" si="18"/>
        <v>12</v>
      </c>
      <c r="N248" t="str">
        <f t="shared" si="19"/>
        <v>Dec</v>
      </c>
      <c r="O248" t="str">
        <f t="shared" si="20"/>
        <v>2025-12</v>
      </c>
      <c r="P248" t="str">
        <f t="shared" si="22"/>
        <v>2025-W53</v>
      </c>
      <c r="Q248" t="str">
        <f t="shared" si="23"/>
        <v>Tue</v>
      </c>
    </row>
    <row r="249" spans="1:17" x14ac:dyDescent="0.3">
      <c r="A249" s="2">
        <v>46021</v>
      </c>
      <c r="B249" s="3" t="s">
        <v>295</v>
      </c>
      <c r="C249" s="3" t="s">
        <v>50</v>
      </c>
      <c r="D249" s="3" t="s">
        <v>65</v>
      </c>
      <c r="E249" s="3" t="s">
        <v>29</v>
      </c>
      <c r="F249" s="3" t="s">
        <v>21</v>
      </c>
      <c r="G249" s="3">
        <v>89</v>
      </c>
      <c r="H249" s="4">
        <v>2912</v>
      </c>
      <c r="I249" s="4">
        <v>3200</v>
      </c>
      <c r="J249" s="3" t="s">
        <v>22</v>
      </c>
      <c r="K249" s="3" t="s">
        <v>30</v>
      </c>
      <c r="L249">
        <f t="shared" si="21"/>
        <v>2025</v>
      </c>
      <c r="M249">
        <f t="shared" si="18"/>
        <v>12</v>
      </c>
      <c r="N249" t="str">
        <f t="shared" si="19"/>
        <v>Dec</v>
      </c>
      <c r="O249" t="str">
        <f t="shared" si="20"/>
        <v>2025-12</v>
      </c>
      <c r="P249" t="str">
        <f t="shared" si="22"/>
        <v>2025-W53</v>
      </c>
      <c r="Q249" t="str">
        <f t="shared" si="23"/>
        <v>Tue</v>
      </c>
    </row>
    <row r="250" spans="1:17" x14ac:dyDescent="0.3">
      <c r="A250" s="2">
        <v>46021</v>
      </c>
      <c r="B250" s="3" t="s">
        <v>296</v>
      </c>
      <c r="C250" s="3" t="s">
        <v>50</v>
      </c>
      <c r="D250" s="3" t="s">
        <v>53</v>
      </c>
      <c r="E250" s="3" t="s">
        <v>123</v>
      </c>
      <c r="F250" s="3" t="s">
        <v>59</v>
      </c>
      <c r="G250" s="3">
        <v>30</v>
      </c>
      <c r="H250" s="4">
        <v>3277</v>
      </c>
      <c r="I250" s="4">
        <v>4000</v>
      </c>
      <c r="J250" s="3" t="s">
        <v>39</v>
      </c>
      <c r="K250" s="3" t="s">
        <v>36</v>
      </c>
      <c r="L250">
        <f t="shared" si="21"/>
        <v>2025</v>
      </c>
      <c r="M250">
        <f t="shared" si="18"/>
        <v>12</v>
      </c>
      <c r="N250" t="str">
        <f t="shared" si="19"/>
        <v>Dec</v>
      </c>
      <c r="O250" t="str">
        <f t="shared" si="20"/>
        <v>2025-12</v>
      </c>
      <c r="P250" t="str">
        <f t="shared" si="22"/>
        <v>2025-W53</v>
      </c>
      <c r="Q250" t="str">
        <f t="shared" si="23"/>
        <v>Tue</v>
      </c>
    </row>
    <row r="251" spans="1:17" x14ac:dyDescent="0.3">
      <c r="A251" s="2">
        <v>46021</v>
      </c>
      <c r="B251" s="3" t="s">
        <v>297</v>
      </c>
      <c r="C251" s="3" t="s">
        <v>91</v>
      </c>
      <c r="D251" s="3" t="s">
        <v>19</v>
      </c>
      <c r="E251" s="3" t="s">
        <v>44</v>
      </c>
      <c r="F251" s="3" t="s">
        <v>34</v>
      </c>
      <c r="G251" s="3">
        <v>114</v>
      </c>
      <c r="H251" s="4">
        <v>6463</v>
      </c>
      <c r="I251" s="4">
        <v>5900</v>
      </c>
      <c r="J251" s="3" t="s">
        <v>22</v>
      </c>
      <c r="K251" s="3" t="s">
        <v>36</v>
      </c>
      <c r="L251">
        <f t="shared" si="21"/>
        <v>2025</v>
      </c>
      <c r="M251">
        <f t="shared" si="18"/>
        <v>12</v>
      </c>
      <c r="N251" t="str">
        <f t="shared" si="19"/>
        <v>Dec</v>
      </c>
      <c r="O251" t="str">
        <f t="shared" si="20"/>
        <v>2025-12</v>
      </c>
      <c r="P251" t="str">
        <f t="shared" si="22"/>
        <v>2025-W53</v>
      </c>
      <c r="Q251" t="str">
        <f t="shared" si="23"/>
        <v>Tue</v>
      </c>
    </row>
    <row r="252" spans="1:17" x14ac:dyDescent="0.3">
      <c r="A252" s="2">
        <v>46021</v>
      </c>
      <c r="B252" s="3" t="s">
        <v>298</v>
      </c>
      <c r="C252" s="3" t="s">
        <v>38</v>
      </c>
      <c r="D252" s="3" t="s">
        <v>65</v>
      </c>
      <c r="E252" s="3" t="s">
        <v>27</v>
      </c>
      <c r="F252" s="3" t="s">
        <v>15</v>
      </c>
      <c r="G252" s="3">
        <v>66</v>
      </c>
      <c r="H252" s="4">
        <v>3219</v>
      </c>
      <c r="I252" s="4">
        <v>3400</v>
      </c>
      <c r="J252" s="3" t="s">
        <v>16</v>
      </c>
      <c r="K252" s="3" t="s">
        <v>36</v>
      </c>
      <c r="L252">
        <f t="shared" si="21"/>
        <v>2025</v>
      </c>
      <c r="M252">
        <f t="shared" si="18"/>
        <v>12</v>
      </c>
      <c r="N252" t="str">
        <f t="shared" si="19"/>
        <v>Dec</v>
      </c>
      <c r="O252" t="str">
        <f t="shared" si="20"/>
        <v>2025-12</v>
      </c>
      <c r="P252" t="str">
        <f t="shared" si="22"/>
        <v>2025-W53</v>
      </c>
      <c r="Q252" t="str">
        <f t="shared" si="23"/>
        <v>Tue</v>
      </c>
    </row>
    <row r="253" spans="1:17" x14ac:dyDescent="0.3">
      <c r="A253" s="2">
        <v>46021</v>
      </c>
      <c r="B253" s="3" t="s">
        <v>299</v>
      </c>
      <c r="C253" s="3" t="s">
        <v>57</v>
      </c>
      <c r="D253" s="3" t="s">
        <v>26</v>
      </c>
      <c r="E253" s="3" t="s">
        <v>41</v>
      </c>
      <c r="F253" s="3" t="s">
        <v>21</v>
      </c>
      <c r="G253" s="3">
        <v>83</v>
      </c>
      <c r="H253" s="4">
        <v>2945</v>
      </c>
      <c r="I253" s="4">
        <v>3300</v>
      </c>
      <c r="J253" s="3" t="s">
        <v>22</v>
      </c>
      <c r="K253" s="3" t="s">
        <v>23</v>
      </c>
      <c r="L253">
        <f t="shared" si="21"/>
        <v>2025</v>
      </c>
      <c r="M253">
        <f t="shared" si="18"/>
        <v>12</v>
      </c>
      <c r="N253" t="str">
        <f t="shared" si="19"/>
        <v>Dec</v>
      </c>
      <c r="O253" t="str">
        <f t="shared" si="20"/>
        <v>2025-12</v>
      </c>
      <c r="P253" t="str">
        <f t="shared" si="22"/>
        <v>2025-W53</v>
      </c>
      <c r="Q253" t="str">
        <f t="shared" si="23"/>
        <v>Tue</v>
      </c>
    </row>
    <row r="254" spans="1:17" x14ac:dyDescent="0.3">
      <c r="A254" s="2">
        <v>46022</v>
      </c>
      <c r="B254" s="3" t="s">
        <v>300</v>
      </c>
      <c r="C254" s="3" t="s">
        <v>25</v>
      </c>
      <c r="D254" s="3" t="s">
        <v>26</v>
      </c>
      <c r="E254" s="3" t="s">
        <v>123</v>
      </c>
      <c r="F254" s="3" t="s">
        <v>59</v>
      </c>
      <c r="G254" s="3">
        <v>55</v>
      </c>
      <c r="H254" s="4">
        <v>4965</v>
      </c>
      <c r="I254" s="4">
        <v>5800</v>
      </c>
      <c r="J254" s="3" t="s">
        <v>39</v>
      </c>
      <c r="K254" s="3" t="s">
        <v>36</v>
      </c>
      <c r="L254">
        <f t="shared" si="21"/>
        <v>2025</v>
      </c>
      <c r="M254">
        <f t="shared" si="18"/>
        <v>12</v>
      </c>
      <c r="N254" t="str">
        <f t="shared" si="19"/>
        <v>Dec</v>
      </c>
      <c r="O254" t="str">
        <f t="shared" si="20"/>
        <v>2025-12</v>
      </c>
      <c r="P254" t="str">
        <f t="shared" si="22"/>
        <v>2025-W53</v>
      </c>
      <c r="Q254" t="str">
        <f t="shared" si="23"/>
        <v>Wed</v>
      </c>
    </row>
    <row r="255" spans="1:17" x14ac:dyDescent="0.3">
      <c r="A255" s="2">
        <v>46022</v>
      </c>
      <c r="B255" s="3" t="s">
        <v>301</v>
      </c>
      <c r="C255" s="3" t="s">
        <v>38</v>
      </c>
      <c r="D255" s="3" t="s">
        <v>26</v>
      </c>
      <c r="E255" s="3" t="s">
        <v>41</v>
      </c>
      <c r="F255" s="3" t="s">
        <v>21</v>
      </c>
      <c r="G255" s="3">
        <v>94</v>
      </c>
      <c r="H255" s="4">
        <v>2992</v>
      </c>
      <c r="I255" s="4">
        <v>2700</v>
      </c>
      <c r="J255" s="3" t="s">
        <v>22</v>
      </c>
      <c r="K255" s="3" t="s">
        <v>17</v>
      </c>
      <c r="L255">
        <f t="shared" si="21"/>
        <v>2025</v>
      </c>
      <c r="M255">
        <f t="shared" si="18"/>
        <v>12</v>
      </c>
      <c r="N255" t="str">
        <f t="shared" si="19"/>
        <v>Dec</v>
      </c>
      <c r="O255" t="str">
        <f t="shared" si="20"/>
        <v>2025-12</v>
      </c>
      <c r="P255" t="str">
        <f t="shared" si="22"/>
        <v>2025-W53</v>
      </c>
      <c r="Q255" t="str">
        <f t="shared" si="23"/>
        <v>Wed</v>
      </c>
    </row>
    <row r="256" spans="1:17" x14ac:dyDescent="0.3">
      <c r="A256" s="2">
        <v>46022</v>
      </c>
      <c r="B256" s="3" t="s">
        <v>302</v>
      </c>
      <c r="C256" s="3" t="s">
        <v>50</v>
      </c>
      <c r="D256" s="3" t="s">
        <v>26</v>
      </c>
      <c r="E256" s="3" t="s">
        <v>14</v>
      </c>
      <c r="F256" s="3" t="s">
        <v>15</v>
      </c>
      <c r="G256" s="3">
        <v>30</v>
      </c>
      <c r="H256" s="4">
        <v>1356</v>
      </c>
      <c r="I256" s="4">
        <v>1400</v>
      </c>
      <c r="J256" s="3" t="s">
        <v>22</v>
      </c>
      <c r="K256" s="3" t="s">
        <v>23</v>
      </c>
      <c r="L256">
        <f t="shared" si="21"/>
        <v>2025</v>
      </c>
      <c r="M256">
        <f t="shared" si="18"/>
        <v>12</v>
      </c>
      <c r="N256" t="str">
        <f t="shared" si="19"/>
        <v>Dec</v>
      </c>
      <c r="O256" t="str">
        <f t="shared" si="20"/>
        <v>2025-12</v>
      </c>
      <c r="P256" t="str">
        <f t="shared" si="22"/>
        <v>2025-W53</v>
      </c>
      <c r="Q256" t="str">
        <f t="shared" si="23"/>
        <v>Wed</v>
      </c>
    </row>
    <row r="257" spans="1:17" x14ac:dyDescent="0.3">
      <c r="A257" s="2">
        <v>46023</v>
      </c>
      <c r="B257" s="3" t="s">
        <v>303</v>
      </c>
      <c r="C257" s="3" t="s">
        <v>43</v>
      </c>
      <c r="D257" s="3" t="s">
        <v>19</v>
      </c>
      <c r="E257" s="3" t="s">
        <v>44</v>
      </c>
      <c r="F257" s="3" t="s">
        <v>34</v>
      </c>
      <c r="G257" s="3">
        <v>103</v>
      </c>
      <c r="H257" s="4">
        <v>6110</v>
      </c>
      <c r="I257" s="4">
        <v>6000</v>
      </c>
      <c r="J257" s="3" t="s">
        <v>22</v>
      </c>
      <c r="K257" s="3" t="s">
        <v>17</v>
      </c>
      <c r="L257">
        <f t="shared" si="21"/>
        <v>2026</v>
      </c>
      <c r="M257">
        <f t="shared" si="18"/>
        <v>1</v>
      </c>
      <c r="N257" t="str">
        <f t="shared" si="19"/>
        <v>Jan</v>
      </c>
      <c r="O257" t="str">
        <f t="shared" si="20"/>
        <v>2026-01</v>
      </c>
      <c r="P257" t="str">
        <f t="shared" si="22"/>
        <v>2026-W01</v>
      </c>
      <c r="Q257" t="str">
        <f t="shared" si="23"/>
        <v>Thu</v>
      </c>
    </row>
    <row r="258" spans="1:17" x14ac:dyDescent="0.3">
      <c r="A258" s="2">
        <v>46023</v>
      </c>
      <c r="B258" s="3" t="s">
        <v>304</v>
      </c>
      <c r="C258" s="3" t="s">
        <v>43</v>
      </c>
      <c r="D258" s="3" t="s">
        <v>53</v>
      </c>
      <c r="E258" s="3" t="s">
        <v>58</v>
      </c>
      <c r="F258" s="3" t="s">
        <v>59</v>
      </c>
      <c r="G258" s="3">
        <v>77</v>
      </c>
      <c r="H258" s="4">
        <v>6566</v>
      </c>
      <c r="I258" s="4">
        <v>7000</v>
      </c>
      <c r="J258" s="3" t="s">
        <v>22</v>
      </c>
      <c r="K258" s="3" t="s">
        <v>17</v>
      </c>
      <c r="L258">
        <f t="shared" si="21"/>
        <v>2026</v>
      </c>
      <c r="M258">
        <f t="shared" ref="M258:M321" si="24">MONTH($A258)</f>
        <v>1</v>
      </c>
      <c r="N258" t="str">
        <f t="shared" ref="N258:N321" si="25">TEXT($A258,"mmm")</f>
        <v>Jan</v>
      </c>
      <c r="O258" t="str">
        <f t="shared" ref="O258:O321" si="26">YEAR($A258)&amp;"-"&amp;TEXT(MONTH($A258),"00")</f>
        <v>2026-01</v>
      </c>
      <c r="P258" t="str">
        <f t="shared" si="22"/>
        <v>2026-W01</v>
      </c>
      <c r="Q258" t="str">
        <f t="shared" si="23"/>
        <v>Thu</v>
      </c>
    </row>
    <row r="259" spans="1:17" x14ac:dyDescent="0.3">
      <c r="A259" s="2">
        <v>46023</v>
      </c>
      <c r="B259" s="3" t="s">
        <v>305</v>
      </c>
      <c r="C259" s="3" t="s">
        <v>50</v>
      </c>
      <c r="D259" s="3" t="s">
        <v>26</v>
      </c>
      <c r="E259" s="3" t="s">
        <v>20</v>
      </c>
      <c r="F259" s="3" t="s">
        <v>21</v>
      </c>
      <c r="G259" s="3">
        <v>77</v>
      </c>
      <c r="H259" s="4">
        <v>2929</v>
      </c>
      <c r="I259" s="4">
        <v>2800</v>
      </c>
      <c r="J259" s="3" t="s">
        <v>39</v>
      </c>
      <c r="K259" s="3" t="s">
        <v>36</v>
      </c>
      <c r="L259">
        <f t="shared" ref="L259:L322" si="27">YEAR($A259)</f>
        <v>2026</v>
      </c>
      <c r="M259">
        <f t="shared" si="24"/>
        <v>1</v>
      </c>
      <c r="N259" t="str">
        <f t="shared" si="25"/>
        <v>Jan</v>
      </c>
      <c r="O259" t="str">
        <f t="shared" si="26"/>
        <v>2026-01</v>
      </c>
      <c r="P259" t="str">
        <f t="shared" ref="P259:P322" si="28">YEAR($A259)&amp;"-W"&amp;TEXT(WEEKNUM($A259,2),"00")</f>
        <v>2026-W01</v>
      </c>
      <c r="Q259" t="str">
        <f t="shared" ref="Q259:Q322" si="29">CHOOSE(WEEKDAY($A259,2),"Mon","Tue","Wed","Thu","Fri","Sat","Sun")</f>
        <v>Thu</v>
      </c>
    </row>
    <row r="260" spans="1:17" x14ac:dyDescent="0.3">
      <c r="A260" s="2">
        <v>46024</v>
      </c>
      <c r="B260" s="3" t="s">
        <v>306</v>
      </c>
      <c r="C260" s="3" t="s">
        <v>57</v>
      </c>
      <c r="D260" s="3" t="s">
        <v>65</v>
      </c>
      <c r="E260" s="3" t="s">
        <v>33</v>
      </c>
      <c r="F260" s="3" t="s">
        <v>34</v>
      </c>
      <c r="G260" s="3">
        <v>45</v>
      </c>
      <c r="H260" s="4">
        <v>2817</v>
      </c>
      <c r="I260" s="4">
        <v>3500</v>
      </c>
      <c r="J260" s="3" t="s">
        <v>39</v>
      </c>
      <c r="K260" s="3" t="s">
        <v>36</v>
      </c>
      <c r="L260">
        <f t="shared" si="27"/>
        <v>2026</v>
      </c>
      <c r="M260">
        <f t="shared" si="24"/>
        <v>1</v>
      </c>
      <c r="N260" t="str">
        <f t="shared" si="25"/>
        <v>Jan</v>
      </c>
      <c r="O260" t="str">
        <f t="shared" si="26"/>
        <v>2026-01</v>
      </c>
      <c r="P260" t="str">
        <f t="shared" si="28"/>
        <v>2026-W01</v>
      </c>
      <c r="Q260" t="str">
        <f t="shared" si="29"/>
        <v>Fri</v>
      </c>
    </row>
    <row r="261" spans="1:17" x14ac:dyDescent="0.3">
      <c r="A261" s="2">
        <v>46024</v>
      </c>
      <c r="B261" s="3" t="s">
        <v>307</v>
      </c>
      <c r="C261" s="3" t="s">
        <v>43</v>
      </c>
      <c r="D261" s="3" t="s">
        <v>26</v>
      </c>
      <c r="E261" s="3" t="s">
        <v>29</v>
      </c>
      <c r="F261" s="3" t="s">
        <v>21</v>
      </c>
      <c r="G261" s="3">
        <v>119</v>
      </c>
      <c r="H261" s="4">
        <v>5342</v>
      </c>
      <c r="I261" s="4">
        <v>5400</v>
      </c>
      <c r="J261" s="3" t="s">
        <v>22</v>
      </c>
      <c r="K261" s="3" t="s">
        <v>23</v>
      </c>
      <c r="L261">
        <f t="shared" si="27"/>
        <v>2026</v>
      </c>
      <c r="M261">
        <f t="shared" si="24"/>
        <v>1</v>
      </c>
      <c r="N261" t="str">
        <f t="shared" si="25"/>
        <v>Jan</v>
      </c>
      <c r="O261" t="str">
        <f t="shared" si="26"/>
        <v>2026-01</v>
      </c>
      <c r="P261" t="str">
        <f t="shared" si="28"/>
        <v>2026-W01</v>
      </c>
      <c r="Q261" t="str">
        <f t="shared" si="29"/>
        <v>Fri</v>
      </c>
    </row>
    <row r="262" spans="1:17" x14ac:dyDescent="0.3">
      <c r="A262" s="2">
        <v>46025</v>
      </c>
      <c r="B262" s="3" t="s">
        <v>308</v>
      </c>
      <c r="C262" s="3" t="s">
        <v>57</v>
      </c>
      <c r="D262" s="3" t="s">
        <v>26</v>
      </c>
      <c r="E262" s="3" t="s">
        <v>33</v>
      </c>
      <c r="F262" s="3" t="s">
        <v>34</v>
      </c>
      <c r="G262" s="3">
        <v>119</v>
      </c>
      <c r="H262" s="4">
        <v>8215</v>
      </c>
      <c r="I262" s="4">
        <v>7800</v>
      </c>
      <c r="J262" s="3" t="s">
        <v>22</v>
      </c>
      <c r="K262" s="3" t="s">
        <v>30</v>
      </c>
      <c r="L262">
        <f t="shared" si="27"/>
        <v>2026</v>
      </c>
      <c r="M262">
        <f t="shared" si="24"/>
        <v>1</v>
      </c>
      <c r="N262" t="str">
        <f t="shared" si="25"/>
        <v>Jan</v>
      </c>
      <c r="O262" t="str">
        <f t="shared" si="26"/>
        <v>2026-01</v>
      </c>
      <c r="P262" t="str">
        <f t="shared" si="28"/>
        <v>2026-W01</v>
      </c>
      <c r="Q262" t="str">
        <f t="shared" si="29"/>
        <v>Sat</v>
      </c>
    </row>
    <row r="263" spans="1:17" x14ac:dyDescent="0.3">
      <c r="A263" s="2">
        <v>46025</v>
      </c>
      <c r="B263" s="3" t="s">
        <v>309</v>
      </c>
      <c r="C263" s="3" t="s">
        <v>25</v>
      </c>
      <c r="D263" s="3" t="s">
        <v>26</v>
      </c>
      <c r="E263" s="3" t="s">
        <v>41</v>
      </c>
      <c r="F263" s="3" t="s">
        <v>21</v>
      </c>
      <c r="G263" s="3">
        <v>84</v>
      </c>
      <c r="H263" s="4">
        <v>3219</v>
      </c>
      <c r="I263" s="4">
        <v>3000</v>
      </c>
      <c r="J263" s="3" t="s">
        <v>22</v>
      </c>
      <c r="K263" s="3" t="s">
        <v>36</v>
      </c>
      <c r="L263">
        <f t="shared" si="27"/>
        <v>2026</v>
      </c>
      <c r="M263">
        <f t="shared" si="24"/>
        <v>1</v>
      </c>
      <c r="N263" t="str">
        <f t="shared" si="25"/>
        <v>Jan</v>
      </c>
      <c r="O263" t="str">
        <f t="shared" si="26"/>
        <v>2026-01</v>
      </c>
      <c r="P263" t="str">
        <f t="shared" si="28"/>
        <v>2026-W01</v>
      </c>
      <c r="Q263" t="str">
        <f t="shared" si="29"/>
        <v>Sat</v>
      </c>
    </row>
    <row r="264" spans="1:17" x14ac:dyDescent="0.3">
      <c r="A264" s="2">
        <v>46025</v>
      </c>
      <c r="B264" s="3" t="s">
        <v>310</v>
      </c>
      <c r="C264" s="3" t="s">
        <v>32</v>
      </c>
      <c r="D264" s="3" t="s">
        <v>65</v>
      </c>
      <c r="E264" s="3" t="s">
        <v>68</v>
      </c>
      <c r="F264" s="3" t="s">
        <v>34</v>
      </c>
      <c r="G264" s="3">
        <v>87</v>
      </c>
      <c r="H264" s="4">
        <v>5333</v>
      </c>
      <c r="I264" s="4">
        <v>4700</v>
      </c>
      <c r="J264" s="3" t="s">
        <v>22</v>
      </c>
      <c r="K264" s="3" t="s">
        <v>17</v>
      </c>
      <c r="L264">
        <f t="shared" si="27"/>
        <v>2026</v>
      </c>
      <c r="M264">
        <f t="shared" si="24"/>
        <v>1</v>
      </c>
      <c r="N264" t="str">
        <f t="shared" si="25"/>
        <v>Jan</v>
      </c>
      <c r="O264" t="str">
        <f t="shared" si="26"/>
        <v>2026-01</v>
      </c>
      <c r="P264" t="str">
        <f t="shared" si="28"/>
        <v>2026-W01</v>
      </c>
      <c r="Q264" t="str">
        <f t="shared" si="29"/>
        <v>Sat</v>
      </c>
    </row>
    <row r="265" spans="1:17" x14ac:dyDescent="0.3">
      <c r="A265" s="2">
        <v>46025</v>
      </c>
      <c r="B265" s="3" t="s">
        <v>311</v>
      </c>
      <c r="C265" s="3" t="s">
        <v>38</v>
      </c>
      <c r="D265" s="3" t="s">
        <v>65</v>
      </c>
      <c r="E265" s="3" t="s">
        <v>27</v>
      </c>
      <c r="F265" s="3" t="s">
        <v>15</v>
      </c>
      <c r="G265" s="3">
        <v>108</v>
      </c>
      <c r="H265" s="4">
        <v>4877</v>
      </c>
      <c r="I265" s="4">
        <v>4900</v>
      </c>
      <c r="J265" s="3" t="s">
        <v>22</v>
      </c>
      <c r="K265" s="3" t="s">
        <v>30</v>
      </c>
      <c r="L265">
        <f t="shared" si="27"/>
        <v>2026</v>
      </c>
      <c r="M265">
        <f t="shared" si="24"/>
        <v>1</v>
      </c>
      <c r="N265" t="str">
        <f t="shared" si="25"/>
        <v>Jan</v>
      </c>
      <c r="O265" t="str">
        <f t="shared" si="26"/>
        <v>2026-01</v>
      </c>
      <c r="P265" t="str">
        <f t="shared" si="28"/>
        <v>2026-W01</v>
      </c>
      <c r="Q265" t="str">
        <f t="shared" si="29"/>
        <v>Sat</v>
      </c>
    </row>
    <row r="266" spans="1:17" x14ac:dyDescent="0.3">
      <c r="A266" s="2">
        <v>46025</v>
      </c>
      <c r="B266" s="3" t="s">
        <v>312</v>
      </c>
      <c r="C266" s="3" t="s">
        <v>25</v>
      </c>
      <c r="D266" s="3" t="s">
        <v>53</v>
      </c>
      <c r="E266" s="3" t="s">
        <v>20</v>
      </c>
      <c r="F266" s="3" t="s">
        <v>21</v>
      </c>
      <c r="G266" s="3">
        <v>27</v>
      </c>
      <c r="H266" s="4">
        <v>1212</v>
      </c>
      <c r="I266" s="4">
        <v>1100</v>
      </c>
      <c r="J266" s="3" t="s">
        <v>22</v>
      </c>
      <c r="K266" s="3" t="s">
        <v>17</v>
      </c>
      <c r="L266">
        <f t="shared" si="27"/>
        <v>2026</v>
      </c>
      <c r="M266">
        <f t="shared" si="24"/>
        <v>1</v>
      </c>
      <c r="N266" t="str">
        <f t="shared" si="25"/>
        <v>Jan</v>
      </c>
      <c r="O266" t="str">
        <f t="shared" si="26"/>
        <v>2026-01</v>
      </c>
      <c r="P266" t="str">
        <f t="shared" si="28"/>
        <v>2026-W01</v>
      </c>
      <c r="Q266" t="str">
        <f t="shared" si="29"/>
        <v>Sat</v>
      </c>
    </row>
    <row r="267" spans="1:17" x14ac:dyDescent="0.3">
      <c r="A267" s="2">
        <v>46025</v>
      </c>
      <c r="B267" s="3" t="s">
        <v>313</v>
      </c>
      <c r="C267" s="3" t="s">
        <v>32</v>
      </c>
      <c r="D267" s="3" t="s">
        <v>65</v>
      </c>
      <c r="E267" s="3" t="s">
        <v>48</v>
      </c>
      <c r="F267" s="3" t="s">
        <v>15</v>
      </c>
      <c r="G267" s="3">
        <v>107</v>
      </c>
      <c r="H267" s="4">
        <v>4908</v>
      </c>
      <c r="I267" s="4">
        <v>6000</v>
      </c>
      <c r="J267" s="3" t="s">
        <v>22</v>
      </c>
      <c r="K267" s="3" t="s">
        <v>30</v>
      </c>
      <c r="L267">
        <f t="shared" si="27"/>
        <v>2026</v>
      </c>
      <c r="M267">
        <f t="shared" si="24"/>
        <v>1</v>
      </c>
      <c r="N267" t="str">
        <f t="shared" si="25"/>
        <v>Jan</v>
      </c>
      <c r="O267" t="str">
        <f t="shared" si="26"/>
        <v>2026-01</v>
      </c>
      <c r="P267" t="str">
        <f t="shared" si="28"/>
        <v>2026-W01</v>
      </c>
      <c r="Q267" t="str">
        <f t="shared" si="29"/>
        <v>Sat</v>
      </c>
    </row>
    <row r="268" spans="1:17" x14ac:dyDescent="0.3">
      <c r="A268" s="2">
        <v>46025</v>
      </c>
      <c r="B268" s="3" t="s">
        <v>314</v>
      </c>
      <c r="C268" s="3" t="s">
        <v>91</v>
      </c>
      <c r="D268" s="3" t="s">
        <v>26</v>
      </c>
      <c r="E268" s="3" t="s">
        <v>14</v>
      </c>
      <c r="F268" s="3" t="s">
        <v>15</v>
      </c>
      <c r="G268" s="3">
        <v>37</v>
      </c>
      <c r="H268" s="4">
        <v>1904</v>
      </c>
      <c r="I268" s="4">
        <v>1900</v>
      </c>
      <c r="J268" s="3" t="s">
        <v>22</v>
      </c>
      <c r="K268" s="3" t="s">
        <v>30</v>
      </c>
      <c r="L268">
        <f t="shared" si="27"/>
        <v>2026</v>
      </c>
      <c r="M268">
        <f t="shared" si="24"/>
        <v>1</v>
      </c>
      <c r="N268" t="str">
        <f t="shared" si="25"/>
        <v>Jan</v>
      </c>
      <c r="O268" t="str">
        <f t="shared" si="26"/>
        <v>2026-01</v>
      </c>
      <c r="P268" t="str">
        <f t="shared" si="28"/>
        <v>2026-W01</v>
      </c>
      <c r="Q268" t="str">
        <f t="shared" si="29"/>
        <v>Sat</v>
      </c>
    </row>
    <row r="269" spans="1:17" x14ac:dyDescent="0.3">
      <c r="A269" s="2">
        <v>46026</v>
      </c>
      <c r="B269" s="3" t="s">
        <v>315</v>
      </c>
      <c r="C269" s="3" t="s">
        <v>12</v>
      </c>
      <c r="D269" s="3" t="s">
        <v>47</v>
      </c>
      <c r="E269" s="3" t="s">
        <v>20</v>
      </c>
      <c r="F269" s="3" t="s">
        <v>21</v>
      </c>
      <c r="G269" s="3">
        <v>17</v>
      </c>
      <c r="H269" s="4">
        <v>641</v>
      </c>
      <c r="I269" s="4">
        <v>600</v>
      </c>
      <c r="J269" s="3" t="s">
        <v>16</v>
      </c>
      <c r="K269" s="3" t="s">
        <v>36</v>
      </c>
      <c r="L269">
        <f t="shared" si="27"/>
        <v>2026</v>
      </c>
      <c r="M269">
        <f t="shared" si="24"/>
        <v>1</v>
      </c>
      <c r="N269" t="str">
        <f t="shared" si="25"/>
        <v>Jan</v>
      </c>
      <c r="O269" t="str">
        <f t="shared" si="26"/>
        <v>2026-01</v>
      </c>
      <c r="P269" t="str">
        <f t="shared" si="28"/>
        <v>2026-W01</v>
      </c>
      <c r="Q269" t="str">
        <f t="shared" si="29"/>
        <v>Sun</v>
      </c>
    </row>
    <row r="270" spans="1:17" x14ac:dyDescent="0.3">
      <c r="A270" s="2">
        <v>46026</v>
      </c>
      <c r="B270" s="3" t="s">
        <v>316</v>
      </c>
      <c r="C270" s="3" t="s">
        <v>50</v>
      </c>
      <c r="D270" s="3" t="s">
        <v>53</v>
      </c>
      <c r="E270" s="3" t="s">
        <v>44</v>
      </c>
      <c r="F270" s="3" t="s">
        <v>34</v>
      </c>
      <c r="G270" s="3">
        <v>108</v>
      </c>
      <c r="H270" s="4">
        <v>6818</v>
      </c>
      <c r="I270" s="4">
        <v>7300</v>
      </c>
      <c r="J270" s="3" t="s">
        <v>22</v>
      </c>
      <c r="K270" s="3" t="s">
        <v>17</v>
      </c>
      <c r="L270">
        <f t="shared" si="27"/>
        <v>2026</v>
      </c>
      <c r="M270">
        <f t="shared" si="24"/>
        <v>1</v>
      </c>
      <c r="N270" t="str">
        <f t="shared" si="25"/>
        <v>Jan</v>
      </c>
      <c r="O270" t="str">
        <f t="shared" si="26"/>
        <v>2026-01</v>
      </c>
      <c r="P270" t="str">
        <f t="shared" si="28"/>
        <v>2026-W01</v>
      </c>
      <c r="Q270" t="str">
        <f t="shared" si="29"/>
        <v>Sun</v>
      </c>
    </row>
    <row r="271" spans="1:17" x14ac:dyDescent="0.3">
      <c r="A271" s="2">
        <v>46026</v>
      </c>
      <c r="B271" s="3" t="s">
        <v>317</v>
      </c>
      <c r="C271" s="3" t="s">
        <v>50</v>
      </c>
      <c r="D271" s="3" t="s">
        <v>19</v>
      </c>
      <c r="E271" s="3" t="s">
        <v>48</v>
      </c>
      <c r="F271" s="3" t="s">
        <v>15</v>
      </c>
      <c r="G271" s="3">
        <v>103</v>
      </c>
      <c r="H271" s="4">
        <v>5548</v>
      </c>
      <c r="I271" s="4">
        <v>6100</v>
      </c>
      <c r="J271" s="3" t="s">
        <v>22</v>
      </c>
      <c r="K271" s="3" t="s">
        <v>36</v>
      </c>
      <c r="L271">
        <f t="shared" si="27"/>
        <v>2026</v>
      </c>
      <c r="M271">
        <f t="shared" si="24"/>
        <v>1</v>
      </c>
      <c r="N271" t="str">
        <f t="shared" si="25"/>
        <v>Jan</v>
      </c>
      <c r="O271" t="str">
        <f t="shared" si="26"/>
        <v>2026-01</v>
      </c>
      <c r="P271" t="str">
        <f t="shared" si="28"/>
        <v>2026-W01</v>
      </c>
      <c r="Q271" t="str">
        <f t="shared" si="29"/>
        <v>Sun</v>
      </c>
    </row>
    <row r="272" spans="1:17" x14ac:dyDescent="0.3">
      <c r="A272" s="2">
        <v>46027</v>
      </c>
      <c r="B272" s="3" t="s">
        <v>318</v>
      </c>
      <c r="C272" s="3" t="s">
        <v>12</v>
      </c>
      <c r="D272" s="3" t="s">
        <v>26</v>
      </c>
      <c r="E272" s="3" t="s">
        <v>41</v>
      </c>
      <c r="F272" s="3" t="s">
        <v>21</v>
      </c>
      <c r="G272" s="3">
        <v>9</v>
      </c>
      <c r="H272" s="4">
        <v>317</v>
      </c>
      <c r="I272" s="4">
        <v>300</v>
      </c>
      <c r="J272" s="3" t="s">
        <v>22</v>
      </c>
      <c r="K272" s="3" t="s">
        <v>36</v>
      </c>
      <c r="L272">
        <f t="shared" si="27"/>
        <v>2026</v>
      </c>
      <c r="M272">
        <f t="shared" si="24"/>
        <v>1</v>
      </c>
      <c r="N272" t="str">
        <f t="shared" si="25"/>
        <v>Jan</v>
      </c>
      <c r="O272" t="str">
        <f t="shared" si="26"/>
        <v>2026-01</v>
      </c>
      <c r="P272" t="str">
        <f t="shared" si="28"/>
        <v>2026-W02</v>
      </c>
      <c r="Q272" t="str">
        <f t="shared" si="29"/>
        <v>Mon</v>
      </c>
    </row>
    <row r="273" spans="1:17" x14ac:dyDescent="0.3">
      <c r="A273" s="2">
        <v>46027</v>
      </c>
      <c r="B273" s="3" t="s">
        <v>319</v>
      </c>
      <c r="C273" s="3" t="s">
        <v>12</v>
      </c>
      <c r="D273" s="3" t="s">
        <v>26</v>
      </c>
      <c r="E273" s="3" t="s">
        <v>48</v>
      </c>
      <c r="F273" s="3" t="s">
        <v>15</v>
      </c>
      <c r="G273" s="3">
        <v>26</v>
      </c>
      <c r="H273" s="4">
        <v>1465</v>
      </c>
      <c r="I273" s="4">
        <v>1800</v>
      </c>
      <c r="J273" s="3" t="s">
        <v>22</v>
      </c>
      <c r="K273" s="3" t="s">
        <v>36</v>
      </c>
      <c r="L273">
        <f t="shared" si="27"/>
        <v>2026</v>
      </c>
      <c r="M273">
        <f t="shared" si="24"/>
        <v>1</v>
      </c>
      <c r="N273" t="str">
        <f t="shared" si="25"/>
        <v>Jan</v>
      </c>
      <c r="O273" t="str">
        <f t="shared" si="26"/>
        <v>2026-01</v>
      </c>
      <c r="P273" t="str">
        <f t="shared" si="28"/>
        <v>2026-W02</v>
      </c>
      <c r="Q273" t="str">
        <f t="shared" si="29"/>
        <v>Mon</v>
      </c>
    </row>
    <row r="274" spans="1:17" x14ac:dyDescent="0.3">
      <c r="A274" s="2">
        <v>46027</v>
      </c>
      <c r="B274" s="3" t="s">
        <v>320</v>
      </c>
      <c r="C274" s="3" t="s">
        <v>38</v>
      </c>
      <c r="D274" s="3" t="s">
        <v>53</v>
      </c>
      <c r="E274" s="3" t="s">
        <v>41</v>
      </c>
      <c r="F274" s="3" t="s">
        <v>21</v>
      </c>
      <c r="G274" s="3">
        <v>40</v>
      </c>
      <c r="H274" s="4">
        <v>1561</v>
      </c>
      <c r="I274" s="4">
        <v>1600</v>
      </c>
      <c r="J274" s="3" t="s">
        <v>16</v>
      </c>
      <c r="K274" s="3" t="s">
        <v>36</v>
      </c>
      <c r="L274">
        <f t="shared" si="27"/>
        <v>2026</v>
      </c>
      <c r="M274">
        <f t="shared" si="24"/>
        <v>1</v>
      </c>
      <c r="N274" t="str">
        <f t="shared" si="25"/>
        <v>Jan</v>
      </c>
      <c r="O274" t="str">
        <f t="shared" si="26"/>
        <v>2026-01</v>
      </c>
      <c r="P274" t="str">
        <f t="shared" si="28"/>
        <v>2026-W02</v>
      </c>
      <c r="Q274" t="str">
        <f t="shared" si="29"/>
        <v>Mon</v>
      </c>
    </row>
    <row r="275" spans="1:17" x14ac:dyDescent="0.3">
      <c r="A275" s="2">
        <v>46027</v>
      </c>
      <c r="B275" s="3" t="s">
        <v>321</v>
      </c>
      <c r="C275" s="3" t="s">
        <v>50</v>
      </c>
      <c r="D275" s="3" t="s">
        <v>53</v>
      </c>
      <c r="E275" s="3" t="s">
        <v>48</v>
      </c>
      <c r="F275" s="3" t="s">
        <v>15</v>
      </c>
      <c r="G275" s="3">
        <v>101</v>
      </c>
      <c r="H275" s="4">
        <v>6250</v>
      </c>
      <c r="I275" s="4">
        <v>5500</v>
      </c>
      <c r="J275" s="3" t="s">
        <v>22</v>
      </c>
      <c r="K275" s="3" t="s">
        <v>36</v>
      </c>
      <c r="L275">
        <f t="shared" si="27"/>
        <v>2026</v>
      </c>
      <c r="M275">
        <f t="shared" si="24"/>
        <v>1</v>
      </c>
      <c r="N275" t="str">
        <f t="shared" si="25"/>
        <v>Jan</v>
      </c>
      <c r="O275" t="str">
        <f t="shared" si="26"/>
        <v>2026-01</v>
      </c>
      <c r="P275" t="str">
        <f t="shared" si="28"/>
        <v>2026-W02</v>
      </c>
      <c r="Q275" t="str">
        <f t="shared" si="29"/>
        <v>Mon</v>
      </c>
    </row>
    <row r="276" spans="1:17" x14ac:dyDescent="0.3">
      <c r="A276" s="2">
        <v>46027</v>
      </c>
      <c r="B276" s="3" t="s">
        <v>322</v>
      </c>
      <c r="C276" s="3" t="s">
        <v>12</v>
      </c>
      <c r="D276" s="3" t="s">
        <v>53</v>
      </c>
      <c r="E276" s="3" t="s">
        <v>44</v>
      </c>
      <c r="F276" s="3" t="s">
        <v>34</v>
      </c>
      <c r="G276" s="3">
        <v>66</v>
      </c>
      <c r="H276" s="4">
        <v>3616</v>
      </c>
      <c r="I276" s="4">
        <v>3200</v>
      </c>
      <c r="J276" s="3" t="s">
        <v>22</v>
      </c>
      <c r="K276" s="3" t="s">
        <v>30</v>
      </c>
      <c r="L276">
        <f t="shared" si="27"/>
        <v>2026</v>
      </c>
      <c r="M276">
        <f t="shared" si="24"/>
        <v>1</v>
      </c>
      <c r="N276" t="str">
        <f t="shared" si="25"/>
        <v>Jan</v>
      </c>
      <c r="O276" t="str">
        <f t="shared" si="26"/>
        <v>2026-01</v>
      </c>
      <c r="P276" t="str">
        <f t="shared" si="28"/>
        <v>2026-W02</v>
      </c>
      <c r="Q276" t="str">
        <f t="shared" si="29"/>
        <v>Mon</v>
      </c>
    </row>
    <row r="277" spans="1:17" x14ac:dyDescent="0.3">
      <c r="A277" s="2">
        <v>46027</v>
      </c>
      <c r="B277" s="3" t="s">
        <v>323</v>
      </c>
      <c r="C277" s="3" t="s">
        <v>25</v>
      </c>
      <c r="D277" s="3" t="s">
        <v>26</v>
      </c>
      <c r="E277" s="3" t="s">
        <v>20</v>
      </c>
      <c r="F277" s="3" t="s">
        <v>21</v>
      </c>
      <c r="G277" s="3">
        <v>41</v>
      </c>
      <c r="H277" s="4">
        <v>1347</v>
      </c>
      <c r="I277" s="4">
        <v>1500</v>
      </c>
      <c r="J277" s="3" t="s">
        <v>22</v>
      </c>
      <c r="K277" s="3" t="s">
        <v>23</v>
      </c>
      <c r="L277">
        <f t="shared" si="27"/>
        <v>2026</v>
      </c>
      <c r="M277">
        <f t="shared" si="24"/>
        <v>1</v>
      </c>
      <c r="N277" t="str">
        <f t="shared" si="25"/>
        <v>Jan</v>
      </c>
      <c r="O277" t="str">
        <f t="shared" si="26"/>
        <v>2026-01</v>
      </c>
      <c r="P277" t="str">
        <f t="shared" si="28"/>
        <v>2026-W02</v>
      </c>
      <c r="Q277" t="str">
        <f t="shared" si="29"/>
        <v>Mon</v>
      </c>
    </row>
    <row r="278" spans="1:17" x14ac:dyDescent="0.3">
      <c r="A278" s="2">
        <v>46028</v>
      </c>
      <c r="B278" s="3" t="s">
        <v>324</v>
      </c>
      <c r="C278" s="3" t="s">
        <v>43</v>
      </c>
      <c r="D278" s="3" t="s">
        <v>13</v>
      </c>
      <c r="E278" s="3" t="s">
        <v>41</v>
      </c>
      <c r="F278" s="3" t="s">
        <v>21</v>
      </c>
      <c r="G278" s="3">
        <v>68</v>
      </c>
      <c r="H278" s="4">
        <v>2567</v>
      </c>
      <c r="I278" s="4">
        <v>3100</v>
      </c>
      <c r="J278" s="3" t="s">
        <v>39</v>
      </c>
      <c r="K278" s="3" t="s">
        <v>23</v>
      </c>
      <c r="L278">
        <f t="shared" si="27"/>
        <v>2026</v>
      </c>
      <c r="M278">
        <f t="shared" si="24"/>
        <v>1</v>
      </c>
      <c r="N278" t="str">
        <f t="shared" si="25"/>
        <v>Jan</v>
      </c>
      <c r="O278" t="str">
        <f t="shared" si="26"/>
        <v>2026-01</v>
      </c>
      <c r="P278" t="str">
        <f t="shared" si="28"/>
        <v>2026-W02</v>
      </c>
      <c r="Q278" t="str">
        <f t="shared" si="29"/>
        <v>Tue</v>
      </c>
    </row>
    <row r="279" spans="1:17" x14ac:dyDescent="0.3">
      <c r="A279" s="2">
        <v>46028</v>
      </c>
      <c r="B279" s="3" t="s">
        <v>325</v>
      </c>
      <c r="C279" s="3" t="s">
        <v>50</v>
      </c>
      <c r="D279" s="3" t="s">
        <v>26</v>
      </c>
      <c r="E279" s="3" t="s">
        <v>123</v>
      </c>
      <c r="F279" s="3" t="s">
        <v>59</v>
      </c>
      <c r="G279" s="3">
        <v>117</v>
      </c>
      <c r="H279" s="4">
        <v>11118</v>
      </c>
      <c r="I279" s="4">
        <v>10300</v>
      </c>
      <c r="J279" s="3" t="s">
        <v>39</v>
      </c>
      <c r="K279" s="3" t="s">
        <v>36</v>
      </c>
      <c r="L279">
        <f t="shared" si="27"/>
        <v>2026</v>
      </c>
      <c r="M279">
        <f t="shared" si="24"/>
        <v>1</v>
      </c>
      <c r="N279" t="str">
        <f t="shared" si="25"/>
        <v>Jan</v>
      </c>
      <c r="O279" t="str">
        <f t="shared" si="26"/>
        <v>2026-01</v>
      </c>
      <c r="P279" t="str">
        <f t="shared" si="28"/>
        <v>2026-W02</v>
      </c>
      <c r="Q279" t="str">
        <f t="shared" si="29"/>
        <v>Tue</v>
      </c>
    </row>
    <row r="280" spans="1:17" x14ac:dyDescent="0.3">
      <c r="A280" s="2">
        <v>46029</v>
      </c>
      <c r="B280" s="3" t="s">
        <v>326</v>
      </c>
      <c r="C280" s="3" t="s">
        <v>91</v>
      </c>
      <c r="D280" s="3" t="s">
        <v>26</v>
      </c>
      <c r="E280" s="3" t="s">
        <v>14</v>
      </c>
      <c r="F280" s="3" t="s">
        <v>15</v>
      </c>
      <c r="G280" s="3">
        <v>92</v>
      </c>
      <c r="H280" s="4">
        <v>5450</v>
      </c>
      <c r="I280" s="4">
        <v>6100</v>
      </c>
      <c r="J280" s="3" t="s">
        <v>22</v>
      </c>
      <c r="K280" s="3" t="s">
        <v>36</v>
      </c>
      <c r="L280">
        <f t="shared" si="27"/>
        <v>2026</v>
      </c>
      <c r="M280">
        <f t="shared" si="24"/>
        <v>1</v>
      </c>
      <c r="N280" t="str">
        <f t="shared" si="25"/>
        <v>Jan</v>
      </c>
      <c r="O280" t="str">
        <f t="shared" si="26"/>
        <v>2026-01</v>
      </c>
      <c r="P280" t="str">
        <f t="shared" si="28"/>
        <v>2026-W02</v>
      </c>
      <c r="Q280" t="str">
        <f t="shared" si="29"/>
        <v>Wed</v>
      </c>
    </row>
    <row r="281" spans="1:17" x14ac:dyDescent="0.3">
      <c r="A281" s="2">
        <v>46029</v>
      </c>
      <c r="B281" s="3" t="s">
        <v>327</v>
      </c>
      <c r="C281" s="3" t="s">
        <v>12</v>
      </c>
      <c r="D281" s="3" t="s">
        <v>19</v>
      </c>
      <c r="E281" s="3" t="s">
        <v>41</v>
      </c>
      <c r="F281" s="3" t="s">
        <v>21</v>
      </c>
      <c r="G281" s="3">
        <v>48</v>
      </c>
      <c r="H281" s="4">
        <v>2132</v>
      </c>
      <c r="I281" s="4">
        <v>2600</v>
      </c>
      <c r="J281" s="3" t="s">
        <v>22</v>
      </c>
      <c r="K281" s="3" t="s">
        <v>30</v>
      </c>
      <c r="L281">
        <f t="shared" si="27"/>
        <v>2026</v>
      </c>
      <c r="M281">
        <f t="shared" si="24"/>
        <v>1</v>
      </c>
      <c r="N281" t="str">
        <f t="shared" si="25"/>
        <v>Jan</v>
      </c>
      <c r="O281" t="str">
        <f t="shared" si="26"/>
        <v>2026-01</v>
      </c>
      <c r="P281" t="str">
        <f t="shared" si="28"/>
        <v>2026-W02</v>
      </c>
      <c r="Q281" t="str">
        <f t="shared" si="29"/>
        <v>Wed</v>
      </c>
    </row>
    <row r="282" spans="1:17" x14ac:dyDescent="0.3">
      <c r="A282" s="2">
        <v>46029</v>
      </c>
      <c r="B282" s="3" t="s">
        <v>328</v>
      </c>
      <c r="C282" s="3" t="s">
        <v>43</v>
      </c>
      <c r="D282" s="3" t="s">
        <v>26</v>
      </c>
      <c r="E282" s="3" t="s">
        <v>41</v>
      </c>
      <c r="F282" s="3" t="s">
        <v>21</v>
      </c>
      <c r="G282" s="3">
        <v>8</v>
      </c>
      <c r="H282" s="4">
        <v>308</v>
      </c>
      <c r="I282" s="4">
        <v>400</v>
      </c>
      <c r="J282" s="3" t="s">
        <v>22</v>
      </c>
      <c r="K282" s="3" t="s">
        <v>30</v>
      </c>
      <c r="L282">
        <f t="shared" si="27"/>
        <v>2026</v>
      </c>
      <c r="M282">
        <f t="shared" si="24"/>
        <v>1</v>
      </c>
      <c r="N282" t="str">
        <f t="shared" si="25"/>
        <v>Jan</v>
      </c>
      <c r="O282" t="str">
        <f t="shared" si="26"/>
        <v>2026-01</v>
      </c>
      <c r="P282" t="str">
        <f t="shared" si="28"/>
        <v>2026-W02</v>
      </c>
      <c r="Q282" t="str">
        <f t="shared" si="29"/>
        <v>Wed</v>
      </c>
    </row>
    <row r="283" spans="1:17" x14ac:dyDescent="0.3">
      <c r="A283" s="2">
        <v>46029</v>
      </c>
      <c r="B283" s="3" t="s">
        <v>329</v>
      </c>
      <c r="C283" s="3" t="s">
        <v>38</v>
      </c>
      <c r="D283" s="3" t="s">
        <v>47</v>
      </c>
      <c r="E283" s="3" t="s">
        <v>29</v>
      </c>
      <c r="F283" s="3" t="s">
        <v>21</v>
      </c>
      <c r="G283" s="3">
        <v>31</v>
      </c>
      <c r="H283" s="4">
        <v>1212</v>
      </c>
      <c r="I283" s="4">
        <v>1300</v>
      </c>
      <c r="J283" s="3" t="s">
        <v>22</v>
      </c>
      <c r="K283" s="3" t="s">
        <v>36</v>
      </c>
      <c r="L283">
        <f t="shared" si="27"/>
        <v>2026</v>
      </c>
      <c r="M283">
        <f t="shared" si="24"/>
        <v>1</v>
      </c>
      <c r="N283" t="str">
        <f t="shared" si="25"/>
        <v>Jan</v>
      </c>
      <c r="O283" t="str">
        <f t="shared" si="26"/>
        <v>2026-01</v>
      </c>
      <c r="P283" t="str">
        <f t="shared" si="28"/>
        <v>2026-W02</v>
      </c>
      <c r="Q283" t="str">
        <f t="shared" si="29"/>
        <v>Wed</v>
      </c>
    </row>
    <row r="284" spans="1:17" x14ac:dyDescent="0.3">
      <c r="A284" s="2">
        <v>46030</v>
      </c>
      <c r="B284" s="3" t="s">
        <v>330</v>
      </c>
      <c r="C284" s="3" t="s">
        <v>32</v>
      </c>
      <c r="D284" s="3" t="s">
        <v>19</v>
      </c>
      <c r="E284" s="3" t="s">
        <v>41</v>
      </c>
      <c r="F284" s="3" t="s">
        <v>21</v>
      </c>
      <c r="G284" s="3">
        <v>83</v>
      </c>
      <c r="H284" s="4">
        <v>3486</v>
      </c>
      <c r="I284" s="4">
        <v>4300</v>
      </c>
      <c r="J284" s="3" t="s">
        <v>22</v>
      </c>
      <c r="K284" s="3" t="s">
        <v>36</v>
      </c>
      <c r="L284">
        <f t="shared" si="27"/>
        <v>2026</v>
      </c>
      <c r="M284">
        <f t="shared" si="24"/>
        <v>1</v>
      </c>
      <c r="N284" t="str">
        <f t="shared" si="25"/>
        <v>Jan</v>
      </c>
      <c r="O284" t="str">
        <f t="shared" si="26"/>
        <v>2026-01</v>
      </c>
      <c r="P284" t="str">
        <f t="shared" si="28"/>
        <v>2026-W02</v>
      </c>
      <c r="Q284" t="str">
        <f t="shared" si="29"/>
        <v>Thu</v>
      </c>
    </row>
    <row r="285" spans="1:17" x14ac:dyDescent="0.3">
      <c r="A285" s="2">
        <v>46030</v>
      </c>
      <c r="B285" s="3" t="s">
        <v>331</v>
      </c>
      <c r="C285" s="3" t="s">
        <v>43</v>
      </c>
      <c r="D285" s="3" t="s">
        <v>53</v>
      </c>
      <c r="E285" s="3" t="s">
        <v>41</v>
      </c>
      <c r="F285" s="3" t="s">
        <v>21</v>
      </c>
      <c r="G285" s="3">
        <v>18</v>
      </c>
      <c r="H285" s="4">
        <v>657</v>
      </c>
      <c r="I285" s="4">
        <v>600</v>
      </c>
      <c r="J285" s="3" t="s">
        <v>22</v>
      </c>
      <c r="K285" s="3" t="s">
        <v>36</v>
      </c>
      <c r="L285">
        <f t="shared" si="27"/>
        <v>2026</v>
      </c>
      <c r="M285">
        <f t="shared" si="24"/>
        <v>1</v>
      </c>
      <c r="N285" t="str">
        <f t="shared" si="25"/>
        <v>Jan</v>
      </c>
      <c r="O285" t="str">
        <f t="shared" si="26"/>
        <v>2026-01</v>
      </c>
      <c r="P285" t="str">
        <f t="shared" si="28"/>
        <v>2026-W02</v>
      </c>
      <c r="Q285" t="str">
        <f t="shared" si="29"/>
        <v>Thu</v>
      </c>
    </row>
    <row r="286" spans="1:17" x14ac:dyDescent="0.3">
      <c r="A286" s="2">
        <v>46030</v>
      </c>
      <c r="B286" s="3" t="s">
        <v>332</v>
      </c>
      <c r="C286" s="3" t="s">
        <v>91</v>
      </c>
      <c r="D286" s="3" t="s">
        <v>47</v>
      </c>
      <c r="E286" s="3" t="s">
        <v>20</v>
      </c>
      <c r="F286" s="3" t="s">
        <v>21</v>
      </c>
      <c r="G286" s="3">
        <v>45</v>
      </c>
      <c r="H286" s="4">
        <v>1917</v>
      </c>
      <c r="I286" s="4">
        <v>1900</v>
      </c>
      <c r="J286" s="3" t="s">
        <v>22</v>
      </c>
      <c r="K286" s="3" t="s">
        <v>23</v>
      </c>
      <c r="L286">
        <f t="shared" si="27"/>
        <v>2026</v>
      </c>
      <c r="M286">
        <f t="shared" si="24"/>
        <v>1</v>
      </c>
      <c r="N286" t="str">
        <f t="shared" si="25"/>
        <v>Jan</v>
      </c>
      <c r="O286" t="str">
        <f t="shared" si="26"/>
        <v>2026-01</v>
      </c>
      <c r="P286" t="str">
        <f t="shared" si="28"/>
        <v>2026-W02</v>
      </c>
      <c r="Q286" t="str">
        <f t="shared" si="29"/>
        <v>Thu</v>
      </c>
    </row>
    <row r="287" spans="1:17" x14ac:dyDescent="0.3">
      <c r="A287" s="2">
        <v>46031</v>
      </c>
      <c r="B287" s="3" t="s">
        <v>333</v>
      </c>
      <c r="C287" s="3" t="s">
        <v>38</v>
      </c>
      <c r="D287" s="3" t="s">
        <v>19</v>
      </c>
      <c r="E287" s="3" t="s">
        <v>29</v>
      </c>
      <c r="F287" s="3" t="s">
        <v>21</v>
      </c>
      <c r="G287" s="3">
        <v>92</v>
      </c>
      <c r="H287" s="4">
        <v>3777</v>
      </c>
      <c r="I287" s="4">
        <v>3100</v>
      </c>
      <c r="J287" s="3" t="s">
        <v>22</v>
      </c>
      <c r="K287" s="3" t="s">
        <v>17</v>
      </c>
      <c r="L287">
        <f t="shared" si="27"/>
        <v>2026</v>
      </c>
      <c r="M287">
        <f t="shared" si="24"/>
        <v>1</v>
      </c>
      <c r="N287" t="str">
        <f t="shared" si="25"/>
        <v>Jan</v>
      </c>
      <c r="O287" t="str">
        <f t="shared" si="26"/>
        <v>2026-01</v>
      </c>
      <c r="P287" t="str">
        <f t="shared" si="28"/>
        <v>2026-W02</v>
      </c>
      <c r="Q287" t="str">
        <f t="shared" si="29"/>
        <v>Fri</v>
      </c>
    </row>
    <row r="288" spans="1:17" x14ac:dyDescent="0.3">
      <c r="A288" s="2">
        <v>46031</v>
      </c>
      <c r="B288" s="3" t="s">
        <v>334</v>
      </c>
      <c r="C288" s="3" t="s">
        <v>43</v>
      </c>
      <c r="D288" s="3" t="s">
        <v>53</v>
      </c>
      <c r="E288" s="3" t="s">
        <v>48</v>
      </c>
      <c r="F288" s="3" t="s">
        <v>15</v>
      </c>
      <c r="G288" s="3">
        <v>55</v>
      </c>
      <c r="H288" s="4">
        <v>2535</v>
      </c>
      <c r="I288" s="4">
        <v>2400</v>
      </c>
      <c r="J288" s="3" t="s">
        <v>22</v>
      </c>
      <c r="K288" s="3" t="s">
        <v>30</v>
      </c>
      <c r="L288">
        <f t="shared" si="27"/>
        <v>2026</v>
      </c>
      <c r="M288">
        <f t="shared" si="24"/>
        <v>1</v>
      </c>
      <c r="N288" t="str">
        <f t="shared" si="25"/>
        <v>Jan</v>
      </c>
      <c r="O288" t="str">
        <f t="shared" si="26"/>
        <v>2026-01</v>
      </c>
      <c r="P288" t="str">
        <f t="shared" si="28"/>
        <v>2026-W02</v>
      </c>
      <c r="Q288" t="str">
        <f t="shared" si="29"/>
        <v>Fri</v>
      </c>
    </row>
    <row r="289" spans="1:17" x14ac:dyDescent="0.3">
      <c r="A289" s="2">
        <v>46032</v>
      </c>
      <c r="B289" s="3" t="s">
        <v>335</v>
      </c>
      <c r="C289" s="3" t="s">
        <v>57</v>
      </c>
      <c r="D289" s="3" t="s">
        <v>47</v>
      </c>
      <c r="E289" s="3" t="s">
        <v>123</v>
      </c>
      <c r="F289" s="3" t="s">
        <v>59</v>
      </c>
      <c r="G289" s="3">
        <v>55</v>
      </c>
      <c r="H289" s="4">
        <v>6135</v>
      </c>
      <c r="I289" s="4">
        <v>5500</v>
      </c>
      <c r="J289" s="3" t="s">
        <v>22</v>
      </c>
      <c r="K289" s="3" t="s">
        <v>17</v>
      </c>
      <c r="L289">
        <f t="shared" si="27"/>
        <v>2026</v>
      </c>
      <c r="M289">
        <f t="shared" si="24"/>
        <v>1</v>
      </c>
      <c r="N289" t="str">
        <f t="shared" si="25"/>
        <v>Jan</v>
      </c>
      <c r="O289" t="str">
        <f t="shared" si="26"/>
        <v>2026-01</v>
      </c>
      <c r="P289" t="str">
        <f t="shared" si="28"/>
        <v>2026-W02</v>
      </c>
      <c r="Q289" t="str">
        <f t="shared" si="29"/>
        <v>Sat</v>
      </c>
    </row>
    <row r="290" spans="1:17" x14ac:dyDescent="0.3">
      <c r="A290" s="2">
        <v>46032</v>
      </c>
      <c r="B290" s="3" t="s">
        <v>336</v>
      </c>
      <c r="C290" s="3" t="s">
        <v>38</v>
      </c>
      <c r="D290" s="3" t="s">
        <v>26</v>
      </c>
      <c r="E290" s="3" t="s">
        <v>41</v>
      </c>
      <c r="F290" s="3" t="s">
        <v>21</v>
      </c>
      <c r="G290" s="3">
        <v>98</v>
      </c>
      <c r="H290" s="4">
        <v>4267</v>
      </c>
      <c r="I290" s="4">
        <v>4200</v>
      </c>
      <c r="J290" s="3" t="s">
        <v>22</v>
      </c>
      <c r="K290" s="3" t="s">
        <v>36</v>
      </c>
      <c r="L290">
        <f t="shared" si="27"/>
        <v>2026</v>
      </c>
      <c r="M290">
        <f t="shared" si="24"/>
        <v>1</v>
      </c>
      <c r="N290" t="str">
        <f t="shared" si="25"/>
        <v>Jan</v>
      </c>
      <c r="O290" t="str">
        <f t="shared" si="26"/>
        <v>2026-01</v>
      </c>
      <c r="P290" t="str">
        <f t="shared" si="28"/>
        <v>2026-W02</v>
      </c>
      <c r="Q290" t="str">
        <f t="shared" si="29"/>
        <v>Sat</v>
      </c>
    </row>
    <row r="291" spans="1:17" x14ac:dyDescent="0.3">
      <c r="A291" s="2">
        <v>46032</v>
      </c>
      <c r="B291" s="3" t="s">
        <v>337</v>
      </c>
      <c r="C291" s="3" t="s">
        <v>57</v>
      </c>
      <c r="D291" s="3" t="s">
        <v>19</v>
      </c>
      <c r="E291" s="3" t="s">
        <v>48</v>
      </c>
      <c r="F291" s="3" t="s">
        <v>15</v>
      </c>
      <c r="G291" s="3">
        <v>64</v>
      </c>
      <c r="H291" s="4">
        <v>3096</v>
      </c>
      <c r="I291" s="4">
        <v>3500</v>
      </c>
      <c r="J291" s="3" t="s">
        <v>22</v>
      </c>
      <c r="K291" s="3" t="s">
        <v>30</v>
      </c>
      <c r="L291">
        <f t="shared" si="27"/>
        <v>2026</v>
      </c>
      <c r="M291">
        <f t="shared" si="24"/>
        <v>1</v>
      </c>
      <c r="N291" t="str">
        <f t="shared" si="25"/>
        <v>Jan</v>
      </c>
      <c r="O291" t="str">
        <f t="shared" si="26"/>
        <v>2026-01</v>
      </c>
      <c r="P291" t="str">
        <f t="shared" si="28"/>
        <v>2026-W02</v>
      </c>
      <c r="Q291" t="str">
        <f t="shared" si="29"/>
        <v>Sat</v>
      </c>
    </row>
    <row r="292" spans="1:17" x14ac:dyDescent="0.3">
      <c r="A292" s="2">
        <v>46033</v>
      </c>
      <c r="B292" s="3" t="s">
        <v>338</v>
      </c>
      <c r="C292" s="3" t="s">
        <v>38</v>
      </c>
      <c r="D292" s="3" t="s">
        <v>26</v>
      </c>
      <c r="E292" s="3" t="s">
        <v>68</v>
      </c>
      <c r="F292" s="3" t="s">
        <v>34</v>
      </c>
      <c r="G292" s="3">
        <v>63</v>
      </c>
      <c r="H292" s="4">
        <v>3604</v>
      </c>
      <c r="I292" s="4">
        <v>3000</v>
      </c>
      <c r="J292" s="3" t="s">
        <v>22</v>
      </c>
      <c r="K292" s="3" t="s">
        <v>36</v>
      </c>
      <c r="L292">
        <f t="shared" si="27"/>
        <v>2026</v>
      </c>
      <c r="M292">
        <f t="shared" si="24"/>
        <v>1</v>
      </c>
      <c r="N292" t="str">
        <f t="shared" si="25"/>
        <v>Jan</v>
      </c>
      <c r="O292" t="str">
        <f t="shared" si="26"/>
        <v>2026-01</v>
      </c>
      <c r="P292" t="str">
        <f t="shared" si="28"/>
        <v>2026-W02</v>
      </c>
      <c r="Q292" t="str">
        <f t="shared" si="29"/>
        <v>Sun</v>
      </c>
    </row>
    <row r="293" spans="1:17" x14ac:dyDescent="0.3">
      <c r="A293" s="2">
        <v>46034</v>
      </c>
      <c r="B293" s="3" t="s">
        <v>339</v>
      </c>
      <c r="C293" s="3" t="s">
        <v>91</v>
      </c>
      <c r="D293" s="3" t="s">
        <v>19</v>
      </c>
      <c r="E293" s="3" t="s">
        <v>123</v>
      </c>
      <c r="F293" s="3" t="s">
        <v>59</v>
      </c>
      <c r="G293" s="3">
        <v>113</v>
      </c>
      <c r="H293" s="4">
        <v>11218</v>
      </c>
      <c r="I293" s="4">
        <v>9600</v>
      </c>
      <c r="J293" s="3" t="s">
        <v>22</v>
      </c>
      <c r="K293" s="3" t="s">
        <v>17</v>
      </c>
      <c r="L293">
        <f t="shared" si="27"/>
        <v>2026</v>
      </c>
      <c r="M293">
        <f t="shared" si="24"/>
        <v>1</v>
      </c>
      <c r="N293" t="str">
        <f t="shared" si="25"/>
        <v>Jan</v>
      </c>
      <c r="O293" t="str">
        <f t="shared" si="26"/>
        <v>2026-01</v>
      </c>
      <c r="P293" t="str">
        <f t="shared" si="28"/>
        <v>2026-W03</v>
      </c>
      <c r="Q293" t="str">
        <f t="shared" si="29"/>
        <v>Mon</v>
      </c>
    </row>
    <row r="294" spans="1:17" x14ac:dyDescent="0.3">
      <c r="A294" s="2">
        <v>46034</v>
      </c>
      <c r="B294" s="3" t="s">
        <v>340</v>
      </c>
      <c r="C294" s="3" t="s">
        <v>38</v>
      </c>
      <c r="D294" s="3" t="s">
        <v>26</v>
      </c>
      <c r="E294" s="3" t="s">
        <v>29</v>
      </c>
      <c r="F294" s="3" t="s">
        <v>21</v>
      </c>
      <c r="G294" s="3">
        <v>18</v>
      </c>
      <c r="H294" s="4">
        <v>688</v>
      </c>
      <c r="I294" s="4">
        <v>800</v>
      </c>
      <c r="J294" s="3" t="s">
        <v>16</v>
      </c>
      <c r="K294" s="3" t="s">
        <v>30</v>
      </c>
      <c r="L294">
        <f t="shared" si="27"/>
        <v>2026</v>
      </c>
      <c r="M294">
        <f t="shared" si="24"/>
        <v>1</v>
      </c>
      <c r="N294" t="str">
        <f t="shared" si="25"/>
        <v>Jan</v>
      </c>
      <c r="O294" t="str">
        <f t="shared" si="26"/>
        <v>2026-01</v>
      </c>
      <c r="P294" t="str">
        <f t="shared" si="28"/>
        <v>2026-W03</v>
      </c>
      <c r="Q294" t="str">
        <f t="shared" si="29"/>
        <v>Mon</v>
      </c>
    </row>
    <row r="295" spans="1:17" x14ac:dyDescent="0.3">
      <c r="A295" s="2">
        <v>46035</v>
      </c>
      <c r="B295" s="3" t="s">
        <v>341</v>
      </c>
      <c r="C295" s="3" t="s">
        <v>38</v>
      </c>
      <c r="D295" s="3" t="s">
        <v>13</v>
      </c>
      <c r="E295" s="3" t="s">
        <v>68</v>
      </c>
      <c r="F295" s="3" t="s">
        <v>34</v>
      </c>
      <c r="G295" s="3">
        <v>52</v>
      </c>
      <c r="H295" s="4">
        <v>3178</v>
      </c>
      <c r="I295" s="4">
        <v>2900</v>
      </c>
      <c r="J295" s="3" t="s">
        <v>22</v>
      </c>
      <c r="K295" s="3" t="s">
        <v>17</v>
      </c>
      <c r="L295">
        <f t="shared" si="27"/>
        <v>2026</v>
      </c>
      <c r="M295">
        <f t="shared" si="24"/>
        <v>1</v>
      </c>
      <c r="N295" t="str">
        <f t="shared" si="25"/>
        <v>Jan</v>
      </c>
      <c r="O295" t="str">
        <f t="shared" si="26"/>
        <v>2026-01</v>
      </c>
      <c r="P295" t="str">
        <f t="shared" si="28"/>
        <v>2026-W03</v>
      </c>
      <c r="Q295" t="str">
        <f t="shared" si="29"/>
        <v>Tue</v>
      </c>
    </row>
    <row r="296" spans="1:17" x14ac:dyDescent="0.3">
      <c r="A296" s="2">
        <v>46035</v>
      </c>
      <c r="B296" s="3" t="s">
        <v>342</v>
      </c>
      <c r="C296" s="3" t="s">
        <v>43</v>
      </c>
      <c r="D296" s="3" t="s">
        <v>47</v>
      </c>
      <c r="E296" s="3" t="s">
        <v>29</v>
      </c>
      <c r="F296" s="3" t="s">
        <v>21</v>
      </c>
      <c r="G296" s="3">
        <v>111</v>
      </c>
      <c r="H296" s="4">
        <v>4562</v>
      </c>
      <c r="I296" s="4">
        <v>4000</v>
      </c>
      <c r="J296" s="3" t="s">
        <v>22</v>
      </c>
      <c r="K296" s="3" t="s">
        <v>36</v>
      </c>
      <c r="L296">
        <f t="shared" si="27"/>
        <v>2026</v>
      </c>
      <c r="M296">
        <f t="shared" si="24"/>
        <v>1</v>
      </c>
      <c r="N296" t="str">
        <f t="shared" si="25"/>
        <v>Jan</v>
      </c>
      <c r="O296" t="str">
        <f t="shared" si="26"/>
        <v>2026-01</v>
      </c>
      <c r="P296" t="str">
        <f t="shared" si="28"/>
        <v>2026-W03</v>
      </c>
      <c r="Q296" t="str">
        <f t="shared" si="29"/>
        <v>Tue</v>
      </c>
    </row>
    <row r="297" spans="1:17" x14ac:dyDescent="0.3">
      <c r="A297" s="2">
        <v>46036</v>
      </c>
      <c r="B297" s="3" t="s">
        <v>343</v>
      </c>
      <c r="C297" s="3" t="s">
        <v>57</v>
      </c>
      <c r="D297" s="3" t="s">
        <v>65</v>
      </c>
      <c r="E297" s="3" t="s">
        <v>58</v>
      </c>
      <c r="F297" s="3" t="s">
        <v>59</v>
      </c>
      <c r="G297" s="3">
        <v>60</v>
      </c>
      <c r="H297" s="4">
        <v>6740</v>
      </c>
      <c r="I297" s="4">
        <v>6700</v>
      </c>
      <c r="J297" s="3" t="s">
        <v>22</v>
      </c>
      <c r="K297" s="3" t="s">
        <v>30</v>
      </c>
      <c r="L297">
        <f t="shared" si="27"/>
        <v>2026</v>
      </c>
      <c r="M297">
        <f t="shared" si="24"/>
        <v>1</v>
      </c>
      <c r="N297" t="str">
        <f t="shared" si="25"/>
        <v>Jan</v>
      </c>
      <c r="O297" t="str">
        <f t="shared" si="26"/>
        <v>2026-01</v>
      </c>
      <c r="P297" t="str">
        <f t="shared" si="28"/>
        <v>2026-W03</v>
      </c>
      <c r="Q297" t="str">
        <f t="shared" si="29"/>
        <v>Wed</v>
      </c>
    </row>
    <row r="298" spans="1:17" x14ac:dyDescent="0.3">
      <c r="A298" s="2">
        <v>46036</v>
      </c>
      <c r="B298" s="3" t="s">
        <v>344</v>
      </c>
      <c r="C298" s="3" t="s">
        <v>32</v>
      </c>
      <c r="D298" s="3" t="s">
        <v>19</v>
      </c>
      <c r="E298" s="3" t="s">
        <v>58</v>
      </c>
      <c r="F298" s="3" t="s">
        <v>59</v>
      </c>
      <c r="G298" s="3">
        <v>60</v>
      </c>
      <c r="H298" s="4">
        <v>6550</v>
      </c>
      <c r="I298" s="4">
        <v>6800</v>
      </c>
      <c r="J298" s="3" t="s">
        <v>22</v>
      </c>
      <c r="K298" s="3" t="s">
        <v>30</v>
      </c>
      <c r="L298">
        <f t="shared" si="27"/>
        <v>2026</v>
      </c>
      <c r="M298">
        <f t="shared" si="24"/>
        <v>1</v>
      </c>
      <c r="N298" t="str">
        <f t="shared" si="25"/>
        <v>Jan</v>
      </c>
      <c r="O298" t="str">
        <f t="shared" si="26"/>
        <v>2026-01</v>
      </c>
      <c r="P298" t="str">
        <f t="shared" si="28"/>
        <v>2026-W03</v>
      </c>
      <c r="Q298" t="str">
        <f t="shared" si="29"/>
        <v>Wed</v>
      </c>
    </row>
    <row r="299" spans="1:17" x14ac:dyDescent="0.3">
      <c r="A299" s="2">
        <v>46037</v>
      </c>
      <c r="B299" s="3" t="s">
        <v>345</v>
      </c>
      <c r="C299" s="3" t="s">
        <v>38</v>
      </c>
      <c r="D299" s="3" t="s">
        <v>65</v>
      </c>
      <c r="E299" s="3" t="s">
        <v>29</v>
      </c>
      <c r="F299" s="3" t="s">
        <v>21</v>
      </c>
      <c r="G299" s="3">
        <v>61</v>
      </c>
      <c r="H299" s="4">
        <v>2276</v>
      </c>
      <c r="I299" s="4">
        <v>2000</v>
      </c>
      <c r="J299" s="3" t="s">
        <v>39</v>
      </c>
      <c r="K299" s="3" t="s">
        <v>36</v>
      </c>
      <c r="L299">
        <f t="shared" si="27"/>
        <v>2026</v>
      </c>
      <c r="M299">
        <f t="shared" si="24"/>
        <v>1</v>
      </c>
      <c r="N299" t="str">
        <f t="shared" si="25"/>
        <v>Jan</v>
      </c>
      <c r="O299" t="str">
        <f t="shared" si="26"/>
        <v>2026-01</v>
      </c>
      <c r="P299" t="str">
        <f t="shared" si="28"/>
        <v>2026-W03</v>
      </c>
      <c r="Q299" t="str">
        <f t="shared" si="29"/>
        <v>Thu</v>
      </c>
    </row>
    <row r="300" spans="1:17" x14ac:dyDescent="0.3">
      <c r="A300" s="2">
        <v>46038</v>
      </c>
      <c r="B300" s="3" t="s">
        <v>346</v>
      </c>
      <c r="C300" s="3" t="s">
        <v>38</v>
      </c>
      <c r="D300" s="3" t="s">
        <v>26</v>
      </c>
      <c r="E300" s="3" t="s">
        <v>123</v>
      </c>
      <c r="F300" s="3" t="s">
        <v>59</v>
      </c>
      <c r="G300" s="3">
        <v>78</v>
      </c>
      <c r="H300" s="4">
        <v>8953</v>
      </c>
      <c r="I300" s="4">
        <v>8700</v>
      </c>
      <c r="J300" s="3" t="s">
        <v>22</v>
      </c>
      <c r="K300" s="3" t="s">
        <v>36</v>
      </c>
      <c r="L300">
        <f t="shared" si="27"/>
        <v>2026</v>
      </c>
      <c r="M300">
        <f t="shared" si="24"/>
        <v>1</v>
      </c>
      <c r="N300" t="str">
        <f t="shared" si="25"/>
        <v>Jan</v>
      </c>
      <c r="O300" t="str">
        <f t="shared" si="26"/>
        <v>2026-01</v>
      </c>
      <c r="P300" t="str">
        <f t="shared" si="28"/>
        <v>2026-W03</v>
      </c>
      <c r="Q300" t="str">
        <f t="shared" si="29"/>
        <v>Fri</v>
      </c>
    </row>
    <row r="301" spans="1:17" x14ac:dyDescent="0.3">
      <c r="A301" s="2">
        <v>46038</v>
      </c>
      <c r="B301" s="3" t="s">
        <v>347</v>
      </c>
      <c r="C301" s="3" t="s">
        <v>43</v>
      </c>
      <c r="D301" s="3" t="s">
        <v>26</v>
      </c>
      <c r="E301" s="3" t="s">
        <v>14</v>
      </c>
      <c r="F301" s="3" t="s">
        <v>15</v>
      </c>
      <c r="G301" s="3">
        <v>32</v>
      </c>
      <c r="H301" s="4">
        <v>1459</v>
      </c>
      <c r="I301" s="4">
        <v>1700</v>
      </c>
      <c r="J301" s="3" t="s">
        <v>22</v>
      </c>
      <c r="K301" s="3" t="s">
        <v>17</v>
      </c>
      <c r="L301">
        <f t="shared" si="27"/>
        <v>2026</v>
      </c>
      <c r="M301">
        <f t="shared" si="24"/>
        <v>1</v>
      </c>
      <c r="N301" t="str">
        <f t="shared" si="25"/>
        <v>Jan</v>
      </c>
      <c r="O301" t="str">
        <f t="shared" si="26"/>
        <v>2026-01</v>
      </c>
      <c r="P301" t="str">
        <f t="shared" si="28"/>
        <v>2026-W03</v>
      </c>
      <c r="Q301" t="str">
        <f t="shared" si="29"/>
        <v>Fri</v>
      </c>
    </row>
    <row r="302" spans="1:17" x14ac:dyDescent="0.3">
      <c r="A302" s="2">
        <v>46038</v>
      </c>
      <c r="B302" s="3" t="s">
        <v>348</v>
      </c>
      <c r="C302" s="3" t="s">
        <v>32</v>
      </c>
      <c r="D302" s="3" t="s">
        <v>65</v>
      </c>
      <c r="E302" s="3" t="s">
        <v>41</v>
      </c>
      <c r="F302" s="3" t="s">
        <v>21</v>
      </c>
      <c r="G302" s="3">
        <v>87</v>
      </c>
      <c r="H302" s="4">
        <v>3157</v>
      </c>
      <c r="I302" s="4">
        <v>3100</v>
      </c>
      <c r="J302" s="3" t="s">
        <v>22</v>
      </c>
      <c r="K302" s="3" t="s">
        <v>36</v>
      </c>
      <c r="L302">
        <f t="shared" si="27"/>
        <v>2026</v>
      </c>
      <c r="M302">
        <f t="shared" si="24"/>
        <v>1</v>
      </c>
      <c r="N302" t="str">
        <f t="shared" si="25"/>
        <v>Jan</v>
      </c>
      <c r="O302" t="str">
        <f t="shared" si="26"/>
        <v>2026-01</v>
      </c>
      <c r="P302" t="str">
        <f t="shared" si="28"/>
        <v>2026-W03</v>
      </c>
      <c r="Q302" t="str">
        <f t="shared" si="29"/>
        <v>Fri</v>
      </c>
    </row>
    <row r="303" spans="1:17" x14ac:dyDescent="0.3">
      <c r="A303" s="2">
        <v>46038</v>
      </c>
      <c r="B303" s="3" t="s">
        <v>349</v>
      </c>
      <c r="C303" s="3" t="s">
        <v>50</v>
      </c>
      <c r="D303" s="3" t="s">
        <v>26</v>
      </c>
      <c r="E303" s="3" t="s">
        <v>123</v>
      </c>
      <c r="F303" s="3" t="s">
        <v>59</v>
      </c>
      <c r="G303" s="3">
        <v>116</v>
      </c>
      <c r="H303" s="4">
        <v>9925</v>
      </c>
      <c r="I303" s="4">
        <v>11400</v>
      </c>
      <c r="J303" s="3" t="s">
        <v>16</v>
      </c>
      <c r="K303" s="3" t="s">
        <v>17</v>
      </c>
      <c r="L303">
        <f t="shared" si="27"/>
        <v>2026</v>
      </c>
      <c r="M303">
        <f t="shared" si="24"/>
        <v>1</v>
      </c>
      <c r="N303" t="str">
        <f t="shared" si="25"/>
        <v>Jan</v>
      </c>
      <c r="O303" t="str">
        <f t="shared" si="26"/>
        <v>2026-01</v>
      </c>
      <c r="P303" t="str">
        <f t="shared" si="28"/>
        <v>2026-W03</v>
      </c>
      <c r="Q303" t="str">
        <f t="shared" si="29"/>
        <v>Fri</v>
      </c>
    </row>
    <row r="304" spans="1:17" x14ac:dyDescent="0.3">
      <c r="A304" s="2">
        <v>46039</v>
      </c>
      <c r="B304" s="3" t="s">
        <v>350</v>
      </c>
      <c r="C304" s="3" t="s">
        <v>91</v>
      </c>
      <c r="D304" s="3" t="s">
        <v>53</v>
      </c>
      <c r="E304" s="3" t="s">
        <v>20</v>
      </c>
      <c r="F304" s="3" t="s">
        <v>21</v>
      </c>
      <c r="G304" s="3">
        <v>33</v>
      </c>
      <c r="H304" s="4">
        <v>1228</v>
      </c>
      <c r="I304" s="4">
        <v>1400</v>
      </c>
      <c r="J304" s="3" t="s">
        <v>39</v>
      </c>
      <c r="K304" s="3" t="s">
        <v>30</v>
      </c>
      <c r="L304">
        <f t="shared" si="27"/>
        <v>2026</v>
      </c>
      <c r="M304">
        <f t="shared" si="24"/>
        <v>1</v>
      </c>
      <c r="N304" t="str">
        <f t="shared" si="25"/>
        <v>Jan</v>
      </c>
      <c r="O304" t="str">
        <f t="shared" si="26"/>
        <v>2026-01</v>
      </c>
      <c r="P304" t="str">
        <f t="shared" si="28"/>
        <v>2026-W03</v>
      </c>
      <c r="Q304" t="str">
        <f t="shared" si="29"/>
        <v>Sat</v>
      </c>
    </row>
    <row r="305" spans="1:17" x14ac:dyDescent="0.3">
      <c r="A305" s="2">
        <v>46039</v>
      </c>
      <c r="B305" s="3" t="s">
        <v>351</v>
      </c>
      <c r="C305" s="3" t="s">
        <v>32</v>
      </c>
      <c r="D305" s="3" t="s">
        <v>65</v>
      </c>
      <c r="E305" s="3" t="s">
        <v>14</v>
      </c>
      <c r="F305" s="3" t="s">
        <v>15</v>
      </c>
      <c r="G305" s="3">
        <v>103</v>
      </c>
      <c r="H305" s="4">
        <v>4933</v>
      </c>
      <c r="I305" s="4">
        <v>5900</v>
      </c>
      <c r="J305" s="3" t="s">
        <v>22</v>
      </c>
      <c r="K305" s="3" t="s">
        <v>30</v>
      </c>
      <c r="L305">
        <f t="shared" si="27"/>
        <v>2026</v>
      </c>
      <c r="M305">
        <f t="shared" si="24"/>
        <v>1</v>
      </c>
      <c r="N305" t="str">
        <f t="shared" si="25"/>
        <v>Jan</v>
      </c>
      <c r="O305" t="str">
        <f t="shared" si="26"/>
        <v>2026-01</v>
      </c>
      <c r="P305" t="str">
        <f t="shared" si="28"/>
        <v>2026-W03</v>
      </c>
      <c r="Q305" t="str">
        <f t="shared" si="29"/>
        <v>Sat</v>
      </c>
    </row>
    <row r="306" spans="1:17" x14ac:dyDescent="0.3">
      <c r="A306" s="2">
        <v>46040</v>
      </c>
      <c r="B306" s="3" t="s">
        <v>352</v>
      </c>
      <c r="C306" s="3" t="s">
        <v>50</v>
      </c>
      <c r="D306" s="3" t="s">
        <v>53</v>
      </c>
      <c r="E306" s="3" t="s">
        <v>48</v>
      </c>
      <c r="F306" s="3" t="s">
        <v>15</v>
      </c>
      <c r="G306" s="3">
        <v>34</v>
      </c>
      <c r="H306" s="4">
        <v>1777</v>
      </c>
      <c r="I306" s="4">
        <v>1700</v>
      </c>
      <c r="J306" s="3" t="s">
        <v>22</v>
      </c>
      <c r="K306" s="3" t="s">
        <v>36</v>
      </c>
      <c r="L306">
        <f t="shared" si="27"/>
        <v>2026</v>
      </c>
      <c r="M306">
        <f t="shared" si="24"/>
        <v>1</v>
      </c>
      <c r="N306" t="str">
        <f t="shared" si="25"/>
        <v>Jan</v>
      </c>
      <c r="O306" t="str">
        <f t="shared" si="26"/>
        <v>2026-01</v>
      </c>
      <c r="P306" t="str">
        <f t="shared" si="28"/>
        <v>2026-W03</v>
      </c>
      <c r="Q306" t="str">
        <f t="shared" si="29"/>
        <v>Sun</v>
      </c>
    </row>
    <row r="307" spans="1:17" x14ac:dyDescent="0.3">
      <c r="A307" s="2">
        <v>46040</v>
      </c>
      <c r="B307" s="3" t="s">
        <v>353</v>
      </c>
      <c r="C307" s="3" t="s">
        <v>32</v>
      </c>
      <c r="D307" s="3" t="s">
        <v>47</v>
      </c>
      <c r="E307" s="3" t="s">
        <v>58</v>
      </c>
      <c r="F307" s="3" t="s">
        <v>59</v>
      </c>
      <c r="G307" s="3">
        <v>51</v>
      </c>
      <c r="H307" s="4">
        <v>5004</v>
      </c>
      <c r="I307" s="4">
        <v>5500</v>
      </c>
      <c r="J307" s="3" t="s">
        <v>22</v>
      </c>
      <c r="K307" s="3" t="s">
        <v>36</v>
      </c>
      <c r="L307">
        <f t="shared" si="27"/>
        <v>2026</v>
      </c>
      <c r="M307">
        <f t="shared" si="24"/>
        <v>1</v>
      </c>
      <c r="N307" t="str">
        <f t="shared" si="25"/>
        <v>Jan</v>
      </c>
      <c r="O307" t="str">
        <f t="shared" si="26"/>
        <v>2026-01</v>
      </c>
      <c r="P307" t="str">
        <f t="shared" si="28"/>
        <v>2026-W03</v>
      </c>
      <c r="Q307" t="str">
        <f t="shared" si="29"/>
        <v>Sun</v>
      </c>
    </row>
    <row r="308" spans="1:17" x14ac:dyDescent="0.3">
      <c r="A308" s="2">
        <v>46040</v>
      </c>
      <c r="B308" s="3" t="s">
        <v>354</v>
      </c>
      <c r="C308" s="3" t="s">
        <v>12</v>
      </c>
      <c r="D308" s="3" t="s">
        <v>47</v>
      </c>
      <c r="E308" s="3" t="s">
        <v>61</v>
      </c>
      <c r="F308" s="3" t="s">
        <v>59</v>
      </c>
      <c r="G308" s="3">
        <v>30</v>
      </c>
      <c r="H308" s="4">
        <v>2884</v>
      </c>
      <c r="I308" s="4">
        <v>2800</v>
      </c>
      <c r="J308" s="3" t="s">
        <v>22</v>
      </c>
      <c r="K308" s="3" t="s">
        <v>30</v>
      </c>
      <c r="L308">
        <f t="shared" si="27"/>
        <v>2026</v>
      </c>
      <c r="M308">
        <f t="shared" si="24"/>
        <v>1</v>
      </c>
      <c r="N308" t="str">
        <f t="shared" si="25"/>
        <v>Jan</v>
      </c>
      <c r="O308" t="str">
        <f t="shared" si="26"/>
        <v>2026-01</v>
      </c>
      <c r="P308" t="str">
        <f t="shared" si="28"/>
        <v>2026-W03</v>
      </c>
      <c r="Q308" t="str">
        <f t="shared" si="29"/>
        <v>Sun</v>
      </c>
    </row>
    <row r="309" spans="1:17" x14ac:dyDescent="0.3">
      <c r="A309" s="2">
        <v>46041</v>
      </c>
      <c r="B309" s="3" t="s">
        <v>355</v>
      </c>
      <c r="C309" s="3" t="s">
        <v>91</v>
      </c>
      <c r="D309" s="3" t="s">
        <v>65</v>
      </c>
      <c r="E309" s="3" t="s">
        <v>20</v>
      </c>
      <c r="F309" s="3" t="s">
        <v>21</v>
      </c>
      <c r="G309" s="3">
        <v>85</v>
      </c>
      <c r="H309" s="4">
        <v>3784</v>
      </c>
      <c r="I309" s="4">
        <v>3200</v>
      </c>
      <c r="J309" s="3" t="s">
        <v>22</v>
      </c>
      <c r="K309" s="3" t="s">
        <v>36</v>
      </c>
      <c r="L309">
        <f t="shared" si="27"/>
        <v>2026</v>
      </c>
      <c r="M309">
        <f t="shared" si="24"/>
        <v>1</v>
      </c>
      <c r="N309" t="str">
        <f t="shared" si="25"/>
        <v>Jan</v>
      </c>
      <c r="O309" t="str">
        <f t="shared" si="26"/>
        <v>2026-01</v>
      </c>
      <c r="P309" t="str">
        <f t="shared" si="28"/>
        <v>2026-W04</v>
      </c>
      <c r="Q309" t="str">
        <f t="shared" si="29"/>
        <v>Mon</v>
      </c>
    </row>
    <row r="310" spans="1:17" x14ac:dyDescent="0.3">
      <c r="A310" s="2">
        <v>46041</v>
      </c>
      <c r="B310" s="3" t="s">
        <v>356</v>
      </c>
      <c r="C310" s="3" t="s">
        <v>25</v>
      </c>
      <c r="D310" s="3" t="s">
        <v>19</v>
      </c>
      <c r="E310" s="3" t="s">
        <v>27</v>
      </c>
      <c r="F310" s="3" t="s">
        <v>15</v>
      </c>
      <c r="G310" s="3">
        <v>53</v>
      </c>
      <c r="H310" s="4">
        <v>2357</v>
      </c>
      <c r="I310" s="4">
        <v>2400</v>
      </c>
      <c r="J310" s="3" t="s">
        <v>22</v>
      </c>
      <c r="K310" s="3" t="s">
        <v>36</v>
      </c>
      <c r="L310">
        <f t="shared" si="27"/>
        <v>2026</v>
      </c>
      <c r="M310">
        <f t="shared" si="24"/>
        <v>1</v>
      </c>
      <c r="N310" t="str">
        <f t="shared" si="25"/>
        <v>Jan</v>
      </c>
      <c r="O310" t="str">
        <f t="shared" si="26"/>
        <v>2026-01</v>
      </c>
      <c r="P310" t="str">
        <f t="shared" si="28"/>
        <v>2026-W04</v>
      </c>
      <c r="Q310" t="str">
        <f t="shared" si="29"/>
        <v>Mon</v>
      </c>
    </row>
    <row r="311" spans="1:17" x14ac:dyDescent="0.3">
      <c r="A311" s="2">
        <v>46042</v>
      </c>
      <c r="B311" s="3" t="s">
        <v>357</v>
      </c>
      <c r="C311" s="3" t="s">
        <v>43</v>
      </c>
      <c r="D311" s="3" t="s">
        <v>47</v>
      </c>
      <c r="E311" s="3" t="s">
        <v>41</v>
      </c>
      <c r="F311" s="3" t="s">
        <v>21</v>
      </c>
      <c r="G311" s="3">
        <v>40</v>
      </c>
      <c r="H311" s="4">
        <v>1450</v>
      </c>
      <c r="I311" s="4">
        <v>1400</v>
      </c>
      <c r="J311" s="3" t="s">
        <v>22</v>
      </c>
      <c r="K311" s="3" t="s">
        <v>36</v>
      </c>
      <c r="L311">
        <f t="shared" si="27"/>
        <v>2026</v>
      </c>
      <c r="M311">
        <f t="shared" si="24"/>
        <v>1</v>
      </c>
      <c r="N311" t="str">
        <f t="shared" si="25"/>
        <v>Jan</v>
      </c>
      <c r="O311" t="str">
        <f t="shared" si="26"/>
        <v>2026-01</v>
      </c>
      <c r="P311" t="str">
        <f t="shared" si="28"/>
        <v>2026-W04</v>
      </c>
      <c r="Q311" t="str">
        <f t="shared" si="29"/>
        <v>Tue</v>
      </c>
    </row>
    <row r="312" spans="1:17" x14ac:dyDescent="0.3">
      <c r="A312" s="2">
        <v>46042</v>
      </c>
      <c r="B312" s="3" t="s">
        <v>358</v>
      </c>
      <c r="C312" s="3" t="s">
        <v>43</v>
      </c>
      <c r="D312" s="3" t="s">
        <v>53</v>
      </c>
      <c r="E312" s="3" t="s">
        <v>14</v>
      </c>
      <c r="F312" s="3" t="s">
        <v>15</v>
      </c>
      <c r="G312" s="3">
        <v>78</v>
      </c>
      <c r="H312" s="4">
        <v>3431</v>
      </c>
      <c r="I312" s="4">
        <v>3100</v>
      </c>
      <c r="J312" s="3" t="s">
        <v>22</v>
      </c>
      <c r="K312" s="3" t="s">
        <v>30</v>
      </c>
      <c r="L312">
        <f t="shared" si="27"/>
        <v>2026</v>
      </c>
      <c r="M312">
        <f t="shared" si="24"/>
        <v>1</v>
      </c>
      <c r="N312" t="str">
        <f t="shared" si="25"/>
        <v>Jan</v>
      </c>
      <c r="O312" t="str">
        <f t="shared" si="26"/>
        <v>2026-01</v>
      </c>
      <c r="P312" t="str">
        <f t="shared" si="28"/>
        <v>2026-W04</v>
      </c>
      <c r="Q312" t="str">
        <f t="shared" si="29"/>
        <v>Tue</v>
      </c>
    </row>
    <row r="313" spans="1:17" x14ac:dyDescent="0.3">
      <c r="A313" s="2">
        <v>46042</v>
      </c>
      <c r="B313" s="3" t="s">
        <v>359</v>
      </c>
      <c r="C313" s="3" t="s">
        <v>43</v>
      </c>
      <c r="D313" s="3" t="s">
        <v>26</v>
      </c>
      <c r="E313" s="3" t="s">
        <v>20</v>
      </c>
      <c r="F313" s="3" t="s">
        <v>21</v>
      </c>
      <c r="G313" s="3">
        <v>37</v>
      </c>
      <c r="H313" s="4">
        <v>1191</v>
      </c>
      <c r="I313" s="4">
        <v>1300</v>
      </c>
      <c r="J313" s="3" t="s">
        <v>22</v>
      </c>
      <c r="K313" s="3" t="s">
        <v>36</v>
      </c>
      <c r="L313">
        <f t="shared" si="27"/>
        <v>2026</v>
      </c>
      <c r="M313">
        <f t="shared" si="24"/>
        <v>1</v>
      </c>
      <c r="N313" t="str">
        <f t="shared" si="25"/>
        <v>Jan</v>
      </c>
      <c r="O313" t="str">
        <f t="shared" si="26"/>
        <v>2026-01</v>
      </c>
      <c r="P313" t="str">
        <f t="shared" si="28"/>
        <v>2026-W04</v>
      </c>
      <c r="Q313" t="str">
        <f t="shared" si="29"/>
        <v>Tue</v>
      </c>
    </row>
    <row r="314" spans="1:17" x14ac:dyDescent="0.3">
      <c r="A314" s="2">
        <v>46043</v>
      </c>
      <c r="B314" s="3" t="s">
        <v>360</v>
      </c>
      <c r="C314" s="3" t="s">
        <v>32</v>
      </c>
      <c r="D314" s="3" t="s">
        <v>53</v>
      </c>
      <c r="E314" s="3" t="s">
        <v>68</v>
      </c>
      <c r="F314" s="3" t="s">
        <v>34</v>
      </c>
      <c r="G314" s="3">
        <v>39</v>
      </c>
      <c r="H314" s="4">
        <v>2364</v>
      </c>
      <c r="I314" s="4">
        <v>2100</v>
      </c>
      <c r="J314" s="3" t="s">
        <v>22</v>
      </c>
      <c r="K314" s="3" t="s">
        <v>36</v>
      </c>
      <c r="L314">
        <f t="shared" si="27"/>
        <v>2026</v>
      </c>
      <c r="M314">
        <f t="shared" si="24"/>
        <v>1</v>
      </c>
      <c r="N314" t="str">
        <f t="shared" si="25"/>
        <v>Jan</v>
      </c>
      <c r="O314" t="str">
        <f t="shared" si="26"/>
        <v>2026-01</v>
      </c>
      <c r="P314" t="str">
        <f t="shared" si="28"/>
        <v>2026-W04</v>
      </c>
      <c r="Q314" t="str">
        <f t="shared" si="29"/>
        <v>Wed</v>
      </c>
    </row>
    <row r="315" spans="1:17" x14ac:dyDescent="0.3">
      <c r="A315" s="2">
        <v>46043</v>
      </c>
      <c r="B315" s="3" t="s">
        <v>361</v>
      </c>
      <c r="C315" s="3" t="s">
        <v>50</v>
      </c>
      <c r="D315" s="3" t="s">
        <v>26</v>
      </c>
      <c r="E315" s="3" t="s">
        <v>20</v>
      </c>
      <c r="F315" s="3" t="s">
        <v>21</v>
      </c>
      <c r="G315" s="3">
        <v>33</v>
      </c>
      <c r="H315" s="4">
        <v>1344</v>
      </c>
      <c r="I315" s="4">
        <v>1500</v>
      </c>
      <c r="J315" s="3" t="s">
        <v>22</v>
      </c>
      <c r="K315" s="3" t="s">
        <v>36</v>
      </c>
      <c r="L315">
        <f t="shared" si="27"/>
        <v>2026</v>
      </c>
      <c r="M315">
        <f t="shared" si="24"/>
        <v>1</v>
      </c>
      <c r="N315" t="str">
        <f t="shared" si="25"/>
        <v>Jan</v>
      </c>
      <c r="O315" t="str">
        <f t="shared" si="26"/>
        <v>2026-01</v>
      </c>
      <c r="P315" t="str">
        <f t="shared" si="28"/>
        <v>2026-W04</v>
      </c>
      <c r="Q315" t="str">
        <f t="shared" si="29"/>
        <v>Wed</v>
      </c>
    </row>
    <row r="316" spans="1:17" x14ac:dyDescent="0.3">
      <c r="A316" s="2">
        <v>46043</v>
      </c>
      <c r="B316" s="3" t="s">
        <v>362</v>
      </c>
      <c r="C316" s="3" t="s">
        <v>43</v>
      </c>
      <c r="D316" s="3" t="s">
        <v>26</v>
      </c>
      <c r="E316" s="3" t="s">
        <v>14</v>
      </c>
      <c r="F316" s="3" t="s">
        <v>15</v>
      </c>
      <c r="G316" s="3">
        <v>61</v>
      </c>
      <c r="H316" s="4">
        <v>3395</v>
      </c>
      <c r="I316" s="4">
        <v>3000</v>
      </c>
      <c r="J316" s="3" t="s">
        <v>39</v>
      </c>
      <c r="K316" s="3" t="s">
        <v>30</v>
      </c>
      <c r="L316">
        <f t="shared" si="27"/>
        <v>2026</v>
      </c>
      <c r="M316">
        <f t="shared" si="24"/>
        <v>1</v>
      </c>
      <c r="N316" t="str">
        <f t="shared" si="25"/>
        <v>Jan</v>
      </c>
      <c r="O316" t="str">
        <f t="shared" si="26"/>
        <v>2026-01</v>
      </c>
      <c r="P316" t="str">
        <f t="shared" si="28"/>
        <v>2026-W04</v>
      </c>
      <c r="Q316" t="str">
        <f t="shared" si="29"/>
        <v>Wed</v>
      </c>
    </row>
    <row r="317" spans="1:17" x14ac:dyDescent="0.3">
      <c r="A317" s="2">
        <v>46043</v>
      </c>
      <c r="B317" s="3" t="s">
        <v>363</v>
      </c>
      <c r="C317" s="3" t="s">
        <v>38</v>
      </c>
      <c r="D317" s="3" t="s">
        <v>53</v>
      </c>
      <c r="E317" s="3" t="s">
        <v>33</v>
      </c>
      <c r="F317" s="3" t="s">
        <v>34</v>
      </c>
      <c r="G317" s="3">
        <v>71</v>
      </c>
      <c r="H317" s="4">
        <v>3792</v>
      </c>
      <c r="I317" s="4">
        <v>3800</v>
      </c>
      <c r="J317" s="3" t="s">
        <v>22</v>
      </c>
      <c r="K317" s="3" t="s">
        <v>30</v>
      </c>
      <c r="L317">
        <f t="shared" si="27"/>
        <v>2026</v>
      </c>
      <c r="M317">
        <f t="shared" si="24"/>
        <v>1</v>
      </c>
      <c r="N317" t="str">
        <f t="shared" si="25"/>
        <v>Jan</v>
      </c>
      <c r="O317" t="str">
        <f t="shared" si="26"/>
        <v>2026-01</v>
      </c>
      <c r="P317" t="str">
        <f t="shared" si="28"/>
        <v>2026-W04</v>
      </c>
      <c r="Q317" t="str">
        <f t="shared" si="29"/>
        <v>Wed</v>
      </c>
    </row>
    <row r="318" spans="1:17" x14ac:dyDescent="0.3">
      <c r="A318" s="2">
        <v>46044</v>
      </c>
      <c r="B318" s="3" t="s">
        <v>364</v>
      </c>
      <c r="C318" s="3" t="s">
        <v>57</v>
      </c>
      <c r="D318" s="3" t="s">
        <v>65</v>
      </c>
      <c r="E318" s="3" t="s">
        <v>27</v>
      </c>
      <c r="F318" s="3" t="s">
        <v>15</v>
      </c>
      <c r="G318" s="3">
        <v>112</v>
      </c>
      <c r="H318" s="4">
        <v>5418</v>
      </c>
      <c r="I318" s="4">
        <v>6200</v>
      </c>
      <c r="J318" s="3" t="s">
        <v>22</v>
      </c>
      <c r="K318" s="3" t="s">
        <v>23</v>
      </c>
      <c r="L318">
        <f t="shared" si="27"/>
        <v>2026</v>
      </c>
      <c r="M318">
        <f t="shared" si="24"/>
        <v>1</v>
      </c>
      <c r="N318" t="str">
        <f t="shared" si="25"/>
        <v>Jan</v>
      </c>
      <c r="O318" t="str">
        <f t="shared" si="26"/>
        <v>2026-01</v>
      </c>
      <c r="P318" t="str">
        <f t="shared" si="28"/>
        <v>2026-W04</v>
      </c>
      <c r="Q318" t="str">
        <f t="shared" si="29"/>
        <v>Thu</v>
      </c>
    </row>
    <row r="319" spans="1:17" x14ac:dyDescent="0.3">
      <c r="A319" s="2">
        <v>46045</v>
      </c>
      <c r="B319" s="3" t="s">
        <v>365</v>
      </c>
      <c r="C319" s="3" t="s">
        <v>25</v>
      </c>
      <c r="D319" s="3" t="s">
        <v>47</v>
      </c>
      <c r="E319" s="3" t="s">
        <v>14</v>
      </c>
      <c r="F319" s="3" t="s">
        <v>15</v>
      </c>
      <c r="G319" s="3">
        <v>42</v>
      </c>
      <c r="H319" s="4">
        <v>1875</v>
      </c>
      <c r="I319" s="4">
        <v>1600</v>
      </c>
      <c r="J319" s="3" t="s">
        <v>22</v>
      </c>
      <c r="K319" s="3" t="s">
        <v>30</v>
      </c>
      <c r="L319">
        <f t="shared" si="27"/>
        <v>2026</v>
      </c>
      <c r="M319">
        <f t="shared" si="24"/>
        <v>1</v>
      </c>
      <c r="N319" t="str">
        <f t="shared" si="25"/>
        <v>Jan</v>
      </c>
      <c r="O319" t="str">
        <f t="shared" si="26"/>
        <v>2026-01</v>
      </c>
      <c r="P319" t="str">
        <f t="shared" si="28"/>
        <v>2026-W04</v>
      </c>
      <c r="Q319" t="str">
        <f t="shared" si="29"/>
        <v>Fri</v>
      </c>
    </row>
    <row r="320" spans="1:17" x14ac:dyDescent="0.3">
      <c r="A320" s="2">
        <v>46045</v>
      </c>
      <c r="B320" s="3" t="s">
        <v>366</v>
      </c>
      <c r="C320" s="3" t="s">
        <v>12</v>
      </c>
      <c r="D320" s="3" t="s">
        <v>13</v>
      </c>
      <c r="E320" s="3" t="s">
        <v>14</v>
      </c>
      <c r="F320" s="3" t="s">
        <v>15</v>
      </c>
      <c r="G320" s="3">
        <v>104</v>
      </c>
      <c r="H320" s="4">
        <v>6393</v>
      </c>
      <c r="I320" s="4">
        <v>6300</v>
      </c>
      <c r="J320" s="3" t="s">
        <v>22</v>
      </c>
      <c r="K320" s="3" t="s">
        <v>23</v>
      </c>
      <c r="L320">
        <f t="shared" si="27"/>
        <v>2026</v>
      </c>
      <c r="M320">
        <f t="shared" si="24"/>
        <v>1</v>
      </c>
      <c r="N320" t="str">
        <f t="shared" si="25"/>
        <v>Jan</v>
      </c>
      <c r="O320" t="str">
        <f t="shared" si="26"/>
        <v>2026-01</v>
      </c>
      <c r="P320" t="str">
        <f t="shared" si="28"/>
        <v>2026-W04</v>
      </c>
      <c r="Q320" t="str">
        <f t="shared" si="29"/>
        <v>Fri</v>
      </c>
    </row>
    <row r="321" spans="1:17" x14ac:dyDescent="0.3">
      <c r="A321" s="2">
        <v>46046</v>
      </c>
      <c r="B321" s="3" t="s">
        <v>367</v>
      </c>
      <c r="C321" s="3" t="s">
        <v>25</v>
      </c>
      <c r="D321" s="3" t="s">
        <v>19</v>
      </c>
      <c r="E321" s="3" t="s">
        <v>123</v>
      </c>
      <c r="F321" s="3" t="s">
        <v>59</v>
      </c>
      <c r="G321" s="3">
        <v>54</v>
      </c>
      <c r="H321" s="4">
        <v>5707</v>
      </c>
      <c r="I321" s="4">
        <v>6400</v>
      </c>
      <c r="J321" s="3" t="s">
        <v>22</v>
      </c>
      <c r="K321" s="3" t="s">
        <v>23</v>
      </c>
      <c r="L321">
        <f t="shared" si="27"/>
        <v>2026</v>
      </c>
      <c r="M321">
        <f t="shared" si="24"/>
        <v>1</v>
      </c>
      <c r="N321" t="str">
        <f t="shared" si="25"/>
        <v>Jan</v>
      </c>
      <c r="O321" t="str">
        <f t="shared" si="26"/>
        <v>2026-01</v>
      </c>
      <c r="P321" t="str">
        <f t="shared" si="28"/>
        <v>2026-W04</v>
      </c>
      <c r="Q321" t="str">
        <f t="shared" si="29"/>
        <v>Sat</v>
      </c>
    </row>
    <row r="322" spans="1:17" x14ac:dyDescent="0.3">
      <c r="A322" s="2">
        <v>46046</v>
      </c>
      <c r="B322" s="3" t="s">
        <v>368</v>
      </c>
      <c r="C322" s="3" t="s">
        <v>50</v>
      </c>
      <c r="D322" s="3" t="s">
        <v>65</v>
      </c>
      <c r="E322" s="3" t="s">
        <v>48</v>
      </c>
      <c r="F322" s="3" t="s">
        <v>15</v>
      </c>
      <c r="G322" s="3">
        <v>33</v>
      </c>
      <c r="H322" s="4">
        <v>1488</v>
      </c>
      <c r="I322" s="4">
        <v>1400</v>
      </c>
      <c r="J322" s="3" t="s">
        <v>22</v>
      </c>
      <c r="K322" s="3" t="s">
        <v>36</v>
      </c>
      <c r="L322">
        <f t="shared" si="27"/>
        <v>2026</v>
      </c>
      <c r="M322">
        <f t="shared" ref="M322:M385" si="30">MONTH($A322)</f>
        <v>1</v>
      </c>
      <c r="N322" t="str">
        <f t="shared" ref="N322:N385" si="31">TEXT($A322,"mmm")</f>
        <v>Jan</v>
      </c>
      <c r="O322" t="str">
        <f t="shared" ref="O322:O385" si="32">YEAR($A322)&amp;"-"&amp;TEXT(MONTH($A322),"00")</f>
        <v>2026-01</v>
      </c>
      <c r="P322" t="str">
        <f t="shared" si="28"/>
        <v>2026-W04</v>
      </c>
      <c r="Q322" t="str">
        <f t="shared" si="29"/>
        <v>Sat</v>
      </c>
    </row>
    <row r="323" spans="1:17" x14ac:dyDescent="0.3">
      <c r="A323" s="2">
        <v>46046</v>
      </c>
      <c r="B323" s="3" t="s">
        <v>369</v>
      </c>
      <c r="C323" s="3" t="s">
        <v>32</v>
      </c>
      <c r="D323" s="3" t="s">
        <v>19</v>
      </c>
      <c r="E323" s="3" t="s">
        <v>44</v>
      </c>
      <c r="F323" s="3" t="s">
        <v>34</v>
      </c>
      <c r="G323" s="3">
        <v>12</v>
      </c>
      <c r="H323" s="4">
        <v>791</v>
      </c>
      <c r="I323" s="4">
        <v>600</v>
      </c>
      <c r="J323" s="3" t="s">
        <v>22</v>
      </c>
      <c r="K323" s="3" t="s">
        <v>36</v>
      </c>
      <c r="L323">
        <f t="shared" ref="L323:L386" si="33">YEAR($A323)</f>
        <v>2026</v>
      </c>
      <c r="M323">
        <f t="shared" si="30"/>
        <v>1</v>
      </c>
      <c r="N323" t="str">
        <f t="shared" si="31"/>
        <v>Jan</v>
      </c>
      <c r="O323" t="str">
        <f t="shared" si="32"/>
        <v>2026-01</v>
      </c>
      <c r="P323" t="str">
        <f t="shared" ref="P323:P386" si="34">YEAR($A323)&amp;"-W"&amp;TEXT(WEEKNUM($A323,2),"00")</f>
        <v>2026-W04</v>
      </c>
      <c r="Q323" t="str">
        <f t="shared" ref="Q323:Q386" si="35">CHOOSE(WEEKDAY($A323,2),"Mon","Tue","Wed","Thu","Fri","Sat","Sun")</f>
        <v>Sat</v>
      </c>
    </row>
    <row r="324" spans="1:17" x14ac:dyDescent="0.3">
      <c r="A324" s="2">
        <v>46046</v>
      </c>
      <c r="B324" s="3" t="s">
        <v>370</v>
      </c>
      <c r="C324" s="3" t="s">
        <v>43</v>
      </c>
      <c r="D324" s="3" t="s">
        <v>13</v>
      </c>
      <c r="E324" s="3" t="s">
        <v>44</v>
      </c>
      <c r="F324" s="3" t="s">
        <v>34</v>
      </c>
      <c r="G324" s="3">
        <v>35</v>
      </c>
      <c r="H324" s="4">
        <v>2166</v>
      </c>
      <c r="I324" s="4">
        <v>2200</v>
      </c>
      <c r="J324" s="3" t="s">
        <v>16</v>
      </c>
      <c r="K324" s="3" t="s">
        <v>30</v>
      </c>
      <c r="L324">
        <f t="shared" si="33"/>
        <v>2026</v>
      </c>
      <c r="M324">
        <f t="shared" si="30"/>
        <v>1</v>
      </c>
      <c r="N324" t="str">
        <f t="shared" si="31"/>
        <v>Jan</v>
      </c>
      <c r="O324" t="str">
        <f t="shared" si="32"/>
        <v>2026-01</v>
      </c>
      <c r="P324" t="str">
        <f t="shared" si="34"/>
        <v>2026-W04</v>
      </c>
      <c r="Q324" t="str">
        <f t="shared" si="35"/>
        <v>Sat</v>
      </c>
    </row>
    <row r="325" spans="1:17" x14ac:dyDescent="0.3">
      <c r="A325" s="2">
        <v>46047</v>
      </c>
      <c r="B325" s="3" t="s">
        <v>371</v>
      </c>
      <c r="C325" s="3" t="s">
        <v>43</v>
      </c>
      <c r="D325" s="3" t="s">
        <v>26</v>
      </c>
      <c r="E325" s="3" t="s">
        <v>33</v>
      </c>
      <c r="F325" s="3" t="s">
        <v>34</v>
      </c>
      <c r="G325" s="3">
        <v>116</v>
      </c>
      <c r="H325" s="4">
        <v>7326</v>
      </c>
      <c r="I325" s="4">
        <v>6000</v>
      </c>
      <c r="J325" s="3" t="s">
        <v>22</v>
      </c>
      <c r="K325" s="3" t="s">
        <v>30</v>
      </c>
      <c r="L325">
        <f t="shared" si="33"/>
        <v>2026</v>
      </c>
      <c r="M325">
        <f t="shared" si="30"/>
        <v>1</v>
      </c>
      <c r="N325" t="str">
        <f t="shared" si="31"/>
        <v>Jan</v>
      </c>
      <c r="O325" t="str">
        <f t="shared" si="32"/>
        <v>2026-01</v>
      </c>
      <c r="P325" t="str">
        <f t="shared" si="34"/>
        <v>2026-W04</v>
      </c>
      <c r="Q325" t="str">
        <f t="shared" si="35"/>
        <v>Sun</v>
      </c>
    </row>
    <row r="326" spans="1:17" x14ac:dyDescent="0.3">
      <c r="A326" s="2">
        <v>46047</v>
      </c>
      <c r="B326" s="3" t="s">
        <v>372</v>
      </c>
      <c r="C326" s="3" t="s">
        <v>43</v>
      </c>
      <c r="D326" s="3" t="s">
        <v>26</v>
      </c>
      <c r="E326" s="3" t="s">
        <v>41</v>
      </c>
      <c r="F326" s="3" t="s">
        <v>21</v>
      </c>
      <c r="G326" s="3">
        <v>86</v>
      </c>
      <c r="H326" s="4">
        <v>2848</v>
      </c>
      <c r="I326" s="4">
        <v>2900</v>
      </c>
      <c r="J326" s="3" t="s">
        <v>22</v>
      </c>
      <c r="K326" s="3" t="s">
        <v>30</v>
      </c>
      <c r="L326">
        <f t="shared" si="33"/>
        <v>2026</v>
      </c>
      <c r="M326">
        <f t="shared" si="30"/>
        <v>1</v>
      </c>
      <c r="N326" t="str">
        <f t="shared" si="31"/>
        <v>Jan</v>
      </c>
      <c r="O326" t="str">
        <f t="shared" si="32"/>
        <v>2026-01</v>
      </c>
      <c r="P326" t="str">
        <f t="shared" si="34"/>
        <v>2026-W04</v>
      </c>
      <c r="Q326" t="str">
        <f t="shared" si="35"/>
        <v>Sun</v>
      </c>
    </row>
    <row r="327" spans="1:17" x14ac:dyDescent="0.3">
      <c r="A327" s="2">
        <v>46047</v>
      </c>
      <c r="B327" s="3" t="s">
        <v>373</v>
      </c>
      <c r="C327" s="3" t="s">
        <v>32</v>
      </c>
      <c r="D327" s="3" t="s">
        <v>26</v>
      </c>
      <c r="E327" s="3" t="s">
        <v>20</v>
      </c>
      <c r="F327" s="3" t="s">
        <v>21</v>
      </c>
      <c r="G327" s="3">
        <v>46</v>
      </c>
      <c r="H327" s="4">
        <v>1880</v>
      </c>
      <c r="I327" s="4">
        <v>2000</v>
      </c>
      <c r="J327" s="3" t="s">
        <v>22</v>
      </c>
      <c r="K327" s="3" t="s">
        <v>17</v>
      </c>
      <c r="L327">
        <f t="shared" si="33"/>
        <v>2026</v>
      </c>
      <c r="M327">
        <f t="shared" si="30"/>
        <v>1</v>
      </c>
      <c r="N327" t="str">
        <f t="shared" si="31"/>
        <v>Jan</v>
      </c>
      <c r="O327" t="str">
        <f t="shared" si="32"/>
        <v>2026-01</v>
      </c>
      <c r="P327" t="str">
        <f t="shared" si="34"/>
        <v>2026-W04</v>
      </c>
      <c r="Q327" t="str">
        <f t="shared" si="35"/>
        <v>Sun</v>
      </c>
    </row>
    <row r="328" spans="1:17" x14ac:dyDescent="0.3">
      <c r="A328" s="2">
        <v>46048</v>
      </c>
      <c r="B328" s="3" t="s">
        <v>374</v>
      </c>
      <c r="C328" s="3" t="s">
        <v>43</v>
      </c>
      <c r="D328" s="3" t="s">
        <v>26</v>
      </c>
      <c r="E328" s="3" t="s">
        <v>14</v>
      </c>
      <c r="F328" s="3" t="s">
        <v>15</v>
      </c>
      <c r="G328" s="3">
        <v>44</v>
      </c>
      <c r="H328" s="4">
        <v>2257</v>
      </c>
      <c r="I328" s="4">
        <v>2100</v>
      </c>
      <c r="J328" s="3" t="s">
        <v>16</v>
      </c>
      <c r="K328" s="3" t="s">
        <v>36</v>
      </c>
      <c r="L328">
        <f t="shared" si="33"/>
        <v>2026</v>
      </c>
      <c r="M328">
        <f t="shared" si="30"/>
        <v>1</v>
      </c>
      <c r="N328" t="str">
        <f t="shared" si="31"/>
        <v>Jan</v>
      </c>
      <c r="O328" t="str">
        <f t="shared" si="32"/>
        <v>2026-01</v>
      </c>
      <c r="P328" t="str">
        <f t="shared" si="34"/>
        <v>2026-W05</v>
      </c>
      <c r="Q328" t="str">
        <f t="shared" si="35"/>
        <v>Mon</v>
      </c>
    </row>
    <row r="329" spans="1:17" x14ac:dyDescent="0.3">
      <c r="A329" s="2">
        <v>46049</v>
      </c>
      <c r="B329" s="3" t="s">
        <v>375</v>
      </c>
      <c r="C329" s="3" t="s">
        <v>43</v>
      </c>
      <c r="D329" s="3" t="s">
        <v>53</v>
      </c>
      <c r="E329" s="3" t="s">
        <v>29</v>
      </c>
      <c r="F329" s="3" t="s">
        <v>21</v>
      </c>
      <c r="G329" s="3">
        <v>77</v>
      </c>
      <c r="H329" s="4">
        <v>2578</v>
      </c>
      <c r="I329" s="4">
        <v>2400</v>
      </c>
      <c r="J329" s="3" t="s">
        <v>22</v>
      </c>
      <c r="K329" s="3" t="s">
        <v>36</v>
      </c>
      <c r="L329">
        <f t="shared" si="33"/>
        <v>2026</v>
      </c>
      <c r="M329">
        <f t="shared" si="30"/>
        <v>1</v>
      </c>
      <c r="N329" t="str">
        <f t="shared" si="31"/>
        <v>Jan</v>
      </c>
      <c r="O329" t="str">
        <f t="shared" si="32"/>
        <v>2026-01</v>
      </c>
      <c r="P329" t="str">
        <f t="shared" si="34"/>
        <v>2026-W05</v>
      </c>
      <c r="Q329" t="str">
        <f t="shared" si="35"/>
        <v>Tue</v>
      </c>
    </row>
    <row r="330" spans="1:17" x14ac:dyDescent="0.3">
      <c r="A330" s="2">
        <v>46051</v>
      </c>
      <c r="B330" s="3" t="s">
        <v>376</v>
      </c>
      <c r="C330" s="3" t="s">
        <v>43</v>
      </c>
      <c r="D330" s="3" t="s">
        <v>65</v>
      </c>
      <c r="E330" s="3" t="s">
        <v>14</v>
      </c>
      <c r="F330" s="3" t="s">
        <v>15</v>
      </c>
      <c r="G330" s="3">
        <v>82</v>
      </c>
      <c r="H330" s="4">
        <v>4660</v>
      </c>
      <c r="I330" s="4">
        <v>3900</v>
      </c>
      <c r="J330" s="3" t="s">
        <v>39</v>
      </c>
      <c r="K330" s="3" t="s">
        <v>36</v>
      </c>
      <c r="L330">
        <f t="shared" si="33"/>
        <v>2026</v>
      </c>
      <c r="M330">
        <f t="shared" si="30"/>
        <v>1</v>
      </c>
      <c r="N330" t="str">
        <f t="shared" si="31"/>
        <v>Jan</v>
      </c>
      <c r="O330" t="str">
        <f t="shared" si="32"/>
        <v>2026-01</v>
      </c>
      <c r="P330" t="str">
        <f t="shared" si="34"/>
        <v>2026-W05</v>
      </c>
      <c r="Q330" t="str">
        <f t="shared" si="35"/>
        <v>Thu</v>
      </c>
    </row>
    <row r="331" spans="1:17" x14ac:dyDescent="0.3">
      <c r="A331" s="2">
        <v>46051</v>
      </c>
      <c r="B331" s="3" t="s">
        <v>377</v>
      </c>
      <c r="C331" s="3" t="s">
        <v>50</v>
      </c>
      <c r="D331" s="3" t="s">
        <v>19</v>
      </c>
      <c r="E331" s="3" t="s">
        <v>29</v>
      </c>
      <c r="F331" s="3" t="s">
        <v>21</v>
      </c>
      <c r="G331" s="3">
        <v>70</v>
      </c>
      <c r="H331" s="4">
        <v>2453</v>
      </c>
      <c r="I331" s="4">
        <v>2300</v>
      </c>
      <c r="J331" s="3" t="s">
        <v>22</v>
      </c>
      <c r="K331" s="3" t="s">
        <v>36</v>
      </c>
      <c r="L331">
        <f t="shared" si="33"/>
        <v>2026</v>
      </c>
      <c r="M331">
        <f t="shared" si="30"/>
        <v>1</v>
      </c>
      <c r="N331" t="str">
        <f t="shared" si="31"/>
        <v>Jan</v>
      </c>
      <c r="O331" t="str">
        <f t="shared" si="32"/>
        <v>2026-01</v>
      </c>
      <c r="P331" t="str">
        <f t="shared" si="34"/>
        <v>2026-W05</v>
      </c>
      <c r="Q331" t="str">
        <f t="shared" si="35"/>
        <v>Thu</v>
      </c>
    </row>
    <row r="332" spans="1:17" x14ac:dyDescent="0.3">
      <c r="A332" s="2">
        <v>46051</v>
      </c>
      <c r="B332" s="3" t="s">
        <v>378</v>
      </c>
      <c r="C332" s="3" t="s">
        <v>50</v>
      </c>
      <c r="D332" s="3" t="s">
        <v>19</v>
      </c>
      <c r="E332" s="3" t="s">
        <v>14</v>
      </c>
      <c r="F332" s="3" t="s">
        <v>15</v>
      </c>
      <c r="G332" s="3">
        <v>24</v>
      </c>
      <c r="H332" s="4">
        <v>1478</v>
      </c>
      <c r="I332" s="4">
        <v>1800</v>
      </c>
      <c r="J332" s="3" t="s">
        <v>22</v>
      </c>
      <c r="K332" s="3" t="s">
        <v>23</v>
      </c>
      <c r="L332">
        <f t="shared" si="33"/>
        <v>2026</v>
      </c>
      <c r="M332">
        <f t="shared" si="30"/>
        <v>1</v>
      </c>
      <c r="N332" t="str">
        <f t="shared" si="31"/>
        <v>Jan</v>
      </c>
      <c r="O332" t="str">
        <f t="shared" si="32"/>
        <v>2026-01</v>
      </c>
      <c r="P332" t="str">
        <f t="shared" si="34"/>
        <v>2026-W05</v>
      </c>
      <c r="Q332" t="str">
        <f t="shared" si="35"/>
        <v>Thu</v>
      </c>
    </row>
    <row r="333" spans="1:17" x14ac:dyDescent="0.3">
      <c r="A333" s="2">
        <v>46054</v>
      </c>
      <c r="B333" s="3" t="s">
        <v>379</v>
      </c>
      <c r="C333" s="3" t="s">
        <v>43</v>
      </c>
      <c r="D333" s="3" t="s">
        <v>26</v>
      </c>
      <c r="E333" s="3" t="s">
        <v>29</v>
      </c>
      <c r="F333" s="3" t="s">
        <v>21</v>
      </c>
      <c r="G333" s="3">
        <v>68</v>
      </c>
      <c r="H333" s="4">
        <v>2944</v>
      </c>
      <c r="I333" s="4">
        <v>2900</v>
      </c>
      <c r="J333" s="3" t="s">
        <v>16</v>
      </c>
      <c r="K333" s="3" t="s">
        <v>36</v>
      </c>
      <c r="L333">
        <f t="shared" si="33"/>
        <v>2026</v>
      </c>
      <c r="M333">
        <f t="shared" si="30"/>
        <v>2</v>
      </c>
      <c r="N333" t="str">
        <f t="shared" si="31"/>
        <v>Feb</v>
      </c>
      <c r="O333" t="str">
        <f t="shared" si="32"/>
        <v>2026-02</v>
      </c>
      <c r="P333" t="str">
        <f t="shared" si="34"/>
        <v>2026-W05</v>
      </c>
      <c r="Q333" t="str">
        <f t="shared" si="35"/>
        <v>Sun</v>
      </c>
    </row>
    <row r="334" spans="1:17" x14ac:dyDescent="0.3">
      <c r="A334" s="2">
        <v>46056</v>
      </c>
      <c r="B334" s="3" t="s">
        <v>380</v>
      </c>
      <c r="C334" s="3" t="s">
        <v>32</v>
      </c>
      <c r="D334" s="3" t="s">
        <v>53</v>
      </c>
      <c r="E334" s="3" t="s">
        <v>27</v>
      </c>
      <c r="F334" s="3" t="s">
        <v>15</v>
      </c>
      <c r="G334" s="3">
        <v>28</v>
      </c>
      <c r="H334" s="4">
        <v>1619</v>
      </c>
      <c r="I334" s="4">
        <v>1800</v>
      </c>
      <c r="J334" s="3" t="s">
        <v>22</v>
      </c>
      <c r="K334" s="3" t="s">
        <v>30</v>
      </c>
      <c r="L334">
        <f t="shared" si="33"/>
        <v>2026</v>
      </c>
      <c r="M334">
        <f t="shared" si="30"/>
        <v>2</v>
      </c>
      <c r="N334" t="str">
        <f t="shared" si="31"/>
        <v>Feb</v>
      </c>
      <c r="O334" t="str">
        <f t="shared" si="32"/>
        <v>2026-02</v>
      </c>
      <c r="P334" t="str">
        <f t="shared" si="34"/>
        <v>2026-W06</v>
      </c>
      <c r="Q334" t="str">
        <f t="shared" si="35"/>
        <v>Tue</v>
      </c>
    </row>
    <row r="335" spans="1:17" x14ac:dyDescent="0.3">
      <c r="A335" s="2">
        <v>46056</v>
      </c>
      <c r="B335" s="3" t="s">
        <v>381</v>
      </c>
      <c r="C335" s="3" t="s">
        <v>32</v>
      </c>
      <c r="D335" s="3" t="s">
        <v>26</v>
      </c>
      <c r="E335" s="3" t="s">
        <v>68</v>
      </c>
      <c r="F335" s="3" t="s">
        <v>34</v>
      </c>
      <c r="G335" s="3">
        <v>31</v>
      </c>
      <c r="H335" s="4">
        <v>1811</v>
      </c>
      <c r="I335" s="4">
        <v>2200</v>
      </c>
      <c r="J335" s="3" t="s">
        <v>22</v>
      </c>
      <c r="K335" s="3" t="s">
        <v>17</v>
      </c>
      <c r="L335">
        <f t="shared" si="33"/>
        <v>2026</v>
      </c>
      <c r="M335">
        <f t="shared" si="30"/>
        <v>2</v>
      </c>
      <c r="N335" t="str">
        <f t="shared" si="31"/>
        <v>Feb</v>
      </c>
      <c r="O335" t="str">
        <f t="shared" si="32"/>
        <v>2026-02</v>
      </c>
      <c r="P335" t="str">
        <f t="shared" si="34"/>
        <v>2026-W06</v>
      </c>
      <c r="Q335" t="str">
        <f t="shared" si="35"/>
        <v>Tue</v>
      </c>
    </row>
    <row r="336" spans="1:17" x14ac:dyDescent="0.3">
      <c r="A336" s="2">
        <v>46057</v>
      </c>
      <c r="B336" s="3" t="s">
        <v>382</v>
      </c>
      <c r="C336" s="3" t="s">
        <v>50</v>
      </c>
      <c r="D336" s="3" t="s">
        <v>26</v>
      </c>
      <c r="E336" s="3" t="s">
        <v>68</v>
      </c>
      <c r="F336" s="3" t="s">
        <v>34</v>
      </c>
      <c r="G336" s="3">
        <v>64</v>
      </c>
      <c r="H336" s="4">
        <v>4336</v>
      </c>
      <c r="I336" s="4">
        <v>5200</v>
      </c>
      <c r="J336" s="3" t="s">
        <v>22</v>
      </c>
      <c r="K336" s="3" t="s">
        <v>36</v>
      </c>
      <c r="L336">
        <f t="shared" si="33"/>
        <v>2026</v>
      </c>
      <c r="M336">
        <f t="shared" si="30"/>
        <v>2</v>
      </c>
      <c r="N336" t="str">
        <f t="shared" si="31"/>
        <v>Feb</v>
      </c>
      <c r="O336" t="str">
        <f t="shared" si="32"/>
        <v>2026-02</v>
      </c>
      <c r="P336" t="str">
        <f t="shared" si="34"/>
        <v>2026-W06</v>
      </c>
      <c r="Q336" t="str">
        <f t="shared" si="35"/>
        <v>Wed</v>
      </c>
    </row>
    <row r="337" spans="1:17" x14ac:dyDescent="0.3">
      <c r="A337" s="2">
        <v>46058</v>
      </c>
      <c r="B337" s="3" t="s">
        <v>383</v>
      </c>
      <c r="C337" s="3" t="s">
        <v>50</v>
      </c>
      <c r="D337" s="3" t="s">
        <v>13</v>
      </c>
      <c r="E337" s="3" t="s">
        <v>61</v>
      </c>
      <c r="F337" s="3" t="s">
        <v>59</v>
      </c>
      <c r="G337" s="3">
        <v>73</v>
      </c>
      <c r="H337" s="4">
        <v>6459</v>
      </c>
      <c r="I337" s="4">
        <v>7100</v>
      </c>
      <c r="J337" s="3" t="s">
        <v>16</v>
      </c>
      <c r="K337" s="3" t="s">
        <v>17</v>
      </c>
      <c r="L337">
        <f t="shared" si="33"/>
        <v>2026</v>
      </c>
      <c r="M337">
        <f t="shared" si="30"/>
        <v>2</v>
      </c>
      <c r="N337" t="str">
        <f t="shared" si="31"/>
        <v>Feb</v>
      </c>
      <c r="O337" t="str">
        <f t="shared" si="32"/>
        <v>2026-02</v>
      </c>
      <c r="P337" t="str">
        <f t="shared" si="34"/>
        <v>2026-W06</v>
      </c>
      <c r="Q337" t="str">
        <f t="shared" si="35"/>
        <v>Thu</v>
      </c>
    </row>
    <row r="338" spans="1:17" x14ac:dyDescent="0.3">
      <c r="A338" s="2">
        <v>46058</v>
      </c>
      <c r="B338" s="3" t="s">
        <v>384</v>
      </c>
      <c r="C338" s="3" t="s">
        <v>57</v>
      </c>
      <c r="D338" s="3" t="s">
        <v>13</v>
      </c>
      <c r="E338" s="3" t="s">
        <v>14</v>
      </c>
      <c r="F338" s="3" t="s">
        <v>15</v>
      </c>
      <c r="G338" s="3">
        <v>102</v>
      </c>
      <c r="H338" s="4">
        <v>5203</v>
      </c>
      <c r="I338" s="4">
        <v>4600</v>
      </c>
      <c r="J338" s="3" t="s">
        <v>22</v>
      </c>
      <c r="K338" s="3" t="s">
        <v>30</v>
      </c>
      <c r="L338">
        <f t="shared" si="33"/>
        <v>2026</v>
      </c>
      <c r="M338">
        <f t="shared" si="30"/>
        <v>2</v>
      </c>
      <c r="N338" t="str">
        <f t="shared" si="31"/>
        <v>Feb</v>
      </c>
      <c r="O338" t="str">
        <f t="shared" si="32"/>
        <v>2026-02</v>
      </c>
      <c r="P338" t="str">
        <f t="shared" si="34"/>
        <v>2026-W06</v>
      </c>
      <c r="Q338" t="str">
        <f t="shared" si="35"/>
        <v>Thu</v>
      </c>
    </row>
    <row r="339" spans="1:17" x14ac:dyDescent="0.3">
      <c r="A339" s="2">
        <v>46058</v>
      </c>
      <c r="B339" s="3" t="s">
        <v>385</v>
      </c>
      <c r="C339" s="3" t="s">
        <v>25</v>
      </c>
      <c r="D339" s="3" t="s">
        <v>53</v>
      </c>
      <c r="E339" s="3" t="s">
        <v>41</v>
      </c>
      <c r="F339" s="3" t="s">
        <v>21</v>
      </c>
      <c r="G339" s="3">
        <v>86</v>
      </c>
      <c r="H339" s="4">
        <v>3772</v>
      </c>
      <c r="I339" s="4">
        <v>4700</v>
      </c>
      <c r="J339" s="3" t="s">
        <v>22</v>
      </c>
      <c r="K339" s="3" t="s">
        <v>17</v>
      </c>
      <c r="L339">
        <f t="shared" si="33"/>
        <v>2026</v>
      </c>
      <c r="M339">
        <f t="shared" si="30"/>
        <v>2</v>
      </c>
      <c r="N339" t="str">
        <f t="shared" si="31"/>
        <v>Feb</v>
      </c>
      <c r="O339" t="str">
        <f t="shared" si="32"/>
        <v>2026-02</v>
      </c>
      <c r="P339" t="str">
        <f t="shared" si="34"/>
        <v>2026-W06</v>
      </c>
      <c r="Q339" t="str">
        <f t="shared" si="35"/>
        <v>Thu</v>
      </c>
    </row>
    <row r="340" spans="1:17" x14ac:dyDescent="0.3">
      <c r="A340" s="2">
        <v>46059</v>
      </c>
      <c r="B340" s="3" t="s">
        <v>386</v>
      </c>
      <c r="C340" s="3" t="s">
        <v>32</v>
      </c>
      <c r="D340" s="3" t="s">
        <v>19</v>
      </c>
      <c r="E340" s="3" t="s">
        <v>61</v>
      </c>
      <c r="F340" s="3" t="s">
        <v>59</v>
      </c>
      <c r="G340" s="3">
        <v>6</v>
      </c>
      <c r="H340" s="4">
        <v>528</v>
      </c>
      <c r="I340" s="4">
        <v>600</v>
      </c>
      <c r="J340" s="3" t="s">
        <v>22</v>
      </c>
      <c r="K340" s="3" t="s">
        <v>36</v>
      </c>
      <c r="L340">
        <f t="shared" si="33"/>
        <v>2026</v>
      </c>
      <c r="M340">
        <f t="shared" si="30"/>
        <v>2</v>
      </c>
      <c r="N340" t="str">
        <f t="shared" si="31"/>
        <v>Feb</v>
      </c>
      <c r="O340" t="str">
        <f t="shared" si="32"/>
        <v>2026-02</v>
      </c>
      <c r="P340" t="str">
        <f t="shared" si="34"/>
        <v>2026-W06</v>
      </c>
      <c r="Q340" t="str">
        <f t="shared" si="35"/>
        <v>Fri</v>
      </c>
    </row>
    <row r="341" spans="1:17" x14ac:dyDescent="0.3">
      <c r="A341" s="2">
        <v>46059</v>
      </c>
      <c r="B341" s="3" t="s">
        <v>387</v>
      </c>
      <c r="C341" s="3" t="s">
        <v>50</v>
      </c>
      <c r="D341" s="3" t="s">
        <v>26</v>
      </c>
      <c r="E341" s="3" t="s">
        <v>14</v>
      </c>
      <c r="F341" s="3" t="s">
        <v>15</v>
      </c>
      <c r="G341" s="3">
        <v>110</v>
      </c>
      <c r="H341" s="4">
        <v>5750</v>
      </c>
      <c r="I341" s="4">
        <v>7000</v>
      </c>
      <c r="J341" s="3" t="s">
        <v>22</v>
      </c>
      <c r="K341" s="3" t="s">
        <v>36</v>
      </c>
      <c r="L341">
        <f t="shared" si="33"/>
        <v>2026</v>
      </c>
      <c r="M341">
        <f t="shared" si="30"/>
        <v>2</v>
      </c>
      <c r="N341" t="str">
        <f t="shared" si="31"/>
        <v>Feb</v>
      </c>
      <c r="O341" t="str">
        <f t="shared" si="32"/>
        <v>2026-02</v>
      </c>
      <c r="P341" t="str">
        <f t="shared" si="34"/>
        <v>2026-W06</v>
      </c>
      <c r="Q341" t="str">
        <f t="shared" si="35"/>
        <v>Fri</v>
      </c>
    </row>
    <row r="342" spans="1:17" x14ac:dyDescent="0.3">
      <c r="A342" s="2">
        <v>46059</v>
      </c>
      <c r="B342" s="3" t="s">
        <v>388</v>
      </c>
      <c r="C342" s="3" t="s">
        <v>32</v>
      </c>
      <c r="D342" s="3" t="s">
        <v>47</v>
      </c>
      <c r="E342" s="3" t="s">
        <v>48</v>
      </c>
      <c r="F342" s="3" t="s">
        <v>15</v>
      </c>
      <c r="G342" s="3">
        <v>53</v>
      </c>
      <c r="H342" s="4">
        <v>3368</v>
      </c>
      <c r="I342" s="4">
        <v>3700</v>
      </c>
      <c r="J342" s="3" t="s">
        <v>22</v>
      </c>
      <c r="K342" s="3" t="s">
        <v>30</v>
      </c>
      <c r="L342">
        <f t="shared" si="33"/>
        <v>2026</v>
      </c>
      <c r="M342">
        <f t="shared" si="30"/>
        <v>2</v>
      </c>
      <c r="N342" t="str">
        <f t="shared" si="31"/>
        <v>Feb</v>
      </c>
      <c r="O342" t="str">
        <f t="shared" si="32"/>
        <v>2026-02</v>
      </c>
      <c r="P342" t="str">
        <f t="shared" si="34"/>
        <v>2026-W06</v>
      </c>
      <c r="Q342" t="str">
        <f t="shared" si="35"/>
        <v>Fri</v>
      </c>
    </row>
    <row r="343" spans="1:17" x14ac:dyDescent="0.3">
      <c r="A343" s="2">
        <v>46059</v>
      </c>
      <c r="B343" s="3" t="s">
        <v>389</v>
      </c>
      <c r="C343" s="3" t="s">
        <v>57</v>
      </c>
      <c r="D343" s="3" t="s">
        <v>13</v>
      </c>
      <c r="E343" s="3" t="s">
        <v>41</v>
      </c>
      <c r="F343" s="3" t="s">
        <v>21</v>
      </c>
      <c r="G343" s="3">
        <v>86</v>
      </c>
      <c r="H343" s="4">
        <v>3276</v>
      </c>
      <c r="I343" s="4">
        <v>2700</v>
      </c>
      <c r="J343" s="3" t="s">
        <v>39</v>
      </c>
      <c r="K343" s="3" t="s">
        <v>30</v>
      </c>
      <c r="L343">
        <f t="shared" si="33"/>
        <v>2026</v>
      </c>
      <c r="M343">
        <f t="shared" si="30"/>
        <v>2</v>
      </c>
      <c r="N343" t="str">
        <f t="shared" si="31"/>
        <v>Feb</v>
      </c>
      <c r="O343" t="str">
        <f t="shared" si="32"/>
        <v>2026-02</v>
      </c>
      <c r="P343" t="str">
        <f t="shared" si="34"/>
        <v>2026-W06</v>
      </c>
      <c r="Q343" t="str">
        <f t="shared" si="35"/>
        <v>Fri</v>
      </c>
    </row>
    <row r="344" spans="1:17" x14ac:dyDescent="0.3">
      <c r="A344" s="2">
        <v>46061</v>
      </c>
      <c r="B344" s="3" t="s">
        <v>390</v>
      </c>
      <c r="C344" s="3" t="s">
        <v>12</v>
      </c>
      <c r="D344" s="3" t="s">
        <v>26</v>
      </c>
      <c r="E344" s="3" t="s">
        <v>58</v>
      </c>
      <c r="F344" s="3" t="s">
        <v>59</v>
      </c>
      <c r="G344" s="3">
        <v>75</v>
      </c>
      <c r="H344" s="4">
        <v>7855</v>
      </c>
      <c r="I344" s="4">
        <v>7300</v>
      </c>
      <c r="J344" s="3" t="s">
        <v>39</v>
      </c>
      <c r="K344" s="3" t="s">
        <v>30</v>
      </c>
      <c r="L344">
        <f t="shared" si="33"/>
        <v>2026</v>
      </c>
      <c r="M344">
        <f t="shared" si="30"/>
        <v>2</v>
      </c>
      <c r="N344" t="str">
        <f t="shared" si="31"/>
        <v>Feb</v>
      </c>
      <c r="O344" t="str">
        <f t="shared" si="32"/>
        <v>2026-02</v>
      </c>
      <c r="P344" t="str">
        <f t="shared" si="34"/>
        <v>2026-W06</v>
      </c>
      <c r="Q344" t="str">
        <f t="shared" si="35"/>
        <v>Sun</v>
      </c>
    </row>
    <row r="345" spans="1:17" x14ac:dyDescent="0.3">
      <c r="A345" s="2">
        <v>46061</v>
      </c>
      <c r="B345" s="3" t="s">
        <v>391</v>
      </c>
      <c r="C345" s="3" t="s">
        <v>12</v>
      </c>
      <c r="D345" s="3" t="s">
        <v>19</v>
      </c>
      <c r="E345" s="3" t="s">
        <v>58</v>
      </c>
      <c r="F345" s="3" t="s">
        <v>59</v>
      </c>
      <c r="G345" s="3">
        <v>60</v>
      </c>
      <c r="H345" s="4">
        <v>6784</v>
      </c>
      <c r="I345" s="4">
        <v>5700</v>
      </c>
      <c r="J345" s="3" t="s">
        <v>22</v>
      </c>
      <c r="K345" s="3" t="s">
        <v>30</v>
      </c>
      <c r="L345">
        <f t="shared" si="33"/>
        <v>2026</v>
      </c>
      <c r="M345">
        <f t="shared" si="30"/>
        <v>2</v>
      </c>
      <c r="N345" t="str">
        <f t="shared" si="31"/>
        <v>Feb</v>
      </c>
      <c r="O345" t="str">
        <f t="shared" si="32"/>
        <v>2026-02</v>
      </c>
      <c r="P345" t="str">
        <f t="shared" si="34"/>
        <v>2026-W06</v>
      </c>
      <c r="Q345" t="str">
        <f t="shared" si="35"/>
        <v>Sun</v>
      </c>
    </row>
    <row r="346" spans="1:17" x14ac:dyDescent="0.3">
      <c r="A346" s="2">
        <v>46062</v>
      </c>
      <c r="B346" s="3" t="s">
        <v>392</v>
      </c>
      <c r="C346" s="3" t="s">
        <v>32</v>
      </c>
      <c r="D346" s="3" t="s">
        <v>26</v>
      </c>
      <c r="E346" s="3" t="s">
        <v>123</v>
      </c>
      <c r="F346" s="3" t="s">
        <v>59</v>
      </c>
      <c r="G346" s="3">
        <v>82</v>
      </c>
      <c r="H346" s="4">
        <v>8495</v>
      </c>
      <c r="I346" s="4">
        <v>9900</v>
      </c>
      <c r="J346" s="3" t="s">
        <v>22</v>
      </c>
      <c r="K346" s="3" t="s">
        <v>17</v>
      </c>
      <c r="L346">
        <f t="shared" si="33"/>
        <v>2026</v>
      </c>
      <c r="M346">
        <f t="shared" si="30"/>
        <v>2</v>
      </c>
      <c r="N346" t="str">
        <f t="shared" si="31"/>
        <v>Feb</v>
      </c>
      <c r="O346" t="str">
        <f t="shared" si="32"/>
        <v>2026-02</v>
      </c>
      <c r="P346" t="str">
        <f t="shared" si="34"/>
        <v>2026-W07</v>
      </c>
      <c r="Q346" t="str">
        <f t="shared" si="35"/>
        <v>Mon</v>
      </c>
    </row>
    <row r="347" spans="1:17" x14ac:dyDescent="0.3">
      <c r="A347" s="2">
        <v>46062</v>
      </c>
      <c r="B347" s="3" t="s">
        <v>393</v>
      </c>
      <c r="C347" s="3" t="s">
        <v>91</v>
      </c>
      <c r="D347" s="3" t="s">
        <v>19</v>
      </c>
      <c r="E347" s="3" t="s">
        <v>44</v>
      </c>
      <c r="F347" s="3" t="s">
        <v>34</v>
      </c>
      <c r="G347" s="3">
        <v>88</v>
      </c>
      <c r="H347" s="4">
        <v>6269</v>
      </c>
      <c r="I347" s="4">
        <v>7700</v>
      </c>
      <c r="J347" s="3" t="s">
        <v>22</v>
      </c>
      <c r="K347" s="3" t="s">
        <v>30</v>
      </c>
      <c r="L347">
        <f t="shared" si="33"/>
        <v>2026</v>
      </c>
      <c r="M347">
        <f t="shared" si="30"/>
        <v>2</v>
      </c>
      <c r="N347" t="str">
        <f t="shared" si="31"/>
        <v>Feb</v>
      </c>
      <c r="O347" t="str">
        <f t="shared" si="32"/>
        <v>2026-02</v>
      </c>
      <c r="P347" t="str">
        <f t="shared" si="34"/>
        <v>2026-W07</v>
      </c>
      <c r="Q347" t="str">
        <f t="shared" si="35"/>
        <v>Mon</v>
      </c>
    </row>
    <row r="348" spans="1:17" x14ac:dyDescent="0.3">
      <c r="A348" s="2">
        <v>46062</v>
      </c>
      <c r="B348" s="3" t="s">
        <v>394</v>
      </c>
      <c r="C348" s="3" t="s">
        <v>32</v>
      </c>
      <c r="D348" s="3" t="s">
        <v>53</v>
      </c>
      <c r="E348" s="3" t="s">
        <v>48</v>
      </c>
      <c r="F348" s="3" t="s">
        <v>15</v>
      </c>
      <c r="G348" s="3">
        <v>8</v>
      </c>
      <c r="H348" s="4">
        <v>408</v>
      </c>
      <c r="I348" s="4">
        <v>500</v>
      </c>
      <c r="J348" s="3" t="s">
        <v>22</v>
      </c>
      <c r="K348" s="3" t="s">
        <v>30</v>
      </c>
      <c r="L348">
        <f t="shared" si="33"/>
        <v>2026</v>
      </c>
      <c r="M348">
        <f t="shared" si="30"/>
        <v>2</v>
      </c>
      <c r="N348" t="str">
        <f t="shared" si="31"/>
        <v>Feb</v>
      </c>
      <c r="O348" t="str">
        <f t="shared" si="32"/>
        <v>2026-02</v>
      </c>
      <c r="P348" t="str">
        <f t="shared" si="34"/>
        <v>2026-W07</v>
      </c>
      <c r="Q348" t="str">
        <f t="shared" si="35"/>
        <v>Mon</v>
      </c>
    </row>
    <row r="349" spans="1:17" x14ac:dyDescent="0.3">
      <c r="A349" s="2">
        <v>46062</v>
      </c>
      <c r="B349" s="3" t="s">
        <v>395</v>
      </c>
      <c r="C349" s="3" t="s">
        <v>50</v>
      </c>
      <c r="D349" s="3" t="s">
        <v>19</v>
      </c>
      <c r="E349" s="3" t="s">
        <v>27</v>
      </c>
      <c r="F349" s="3" t="s">
        <v>15</v>
      </c>
      <c r="G349" s="3">
        <v>74</v>
      </c>
      <c r="H349" s="4">
        <v>3834</v>
      </c>
      <c r="I349" s="4">
        <v>4100</v>
      </c>
      <c r="J349" s="3" t="s">
        <v>22</v>
      </c>
      <c r="K349" s="3" t="s">
        <v>36</v>
      </c>
      <c r="L349">
        <f t="shared" si="33"/>
        <v>2026</v>
      </c>
      <c r="M349">
        <f t="shared" si="30"/>
        <v>2</v>
      </c>
      <c r="N349" t="str">
        <f t="shared" si="31"/>
        <v>Feb</v>
      </c>
      <c r="O349" t="str">
        <f t="shared" si="32"/>
        <v>2026-02</v>
      </c>
      <c r="P349" t="str">
        <f t="shared" si="34"/>
        <v>2026-W07</v>
      </c>
      <c r="Q349" t="str">
        <f t="shared" si="35"/>
        <v>Mon</v>
      </c>
    </row>
    <row r="350" spans="1:17" x14ac:dyDescent="0.3">
      <c r="A350" s="2">
        <v>46062</v>
      </c>
      <c r="B350" s="3" t="s">
        <v>396</v>
      </c>
      <c r="C350" s="3" t="s">
        <v>32</v>
      </c>
      <c r="D350" s="3" t="s">
        <v>53</v>
      </c>
      <c r="E350" s="3" t="s">
        <v>123</v>
      </c>
      <c r="F350" s="3" t="s">
        <v>59</v>
      </c>
      <c r="G350" s="3">
        <v>93</v>
      </c>
      <c r="H350" s="4">
        <v>9141</v>
      </c>
      <c r="I350" s="4">
        <v>9500</v>
      </c>
      <c r="J350" s="3" t="s">
        <v>22</v>
      </c>
      <c r="K350" s="3" t="s">
        <v>17</v>
      </c>
      <c r="L350">
        <f t="shared" si="33"/>
        <v>2026</v>
      </c>
      <c r="M350">
        <f t="shared" si="30"/>
        <v>2</v>
      </c>
      <c r="N350" t="str">
        <f t="shared" si="31"/>
        <v>Feb</v>
      </c>
      <c r="O350" t="str">
        <f t="shared" si="32"/>
        <v>2026-02</v>
      </c>
      <c r="P350" t="str">
        <f t="shared" si="34"/>
        <v>2026-W07</v>
      </c>
      <c r="Q350" t="str">
        <f t="shared" si="35"/>
        <v>Mon</v>
      </c>
    </row>
    <row r="351" spans="1:17" x14ac:dyDescent="0.3">
      <c r="A351" s="2">
        <v>46063</v>
      </c>
      <c r="B351" s="3" t="s">
        <v>397</v>
      </c>
      <c r="C351" s="3" t="s">
        <v>43</v>
      </c>
      <c r="D351" s="3" t="s">
        <v>13</v>
      </c>
      <c r="E351" s="3" t="s">
        <v>123</v>
      </c>
      <c r="F351" s="3" t="s">
        <v>59</v>
      </c>
      <c r="G351" s="3">
        <v>44</v>
      </c>
      <c r="H351" s="4">
        <v>4801</v>
      </c>
      <c r="I351" s="4">
        <v>4800</v>
      </c>
      <c r="J351" s="3" t="s">
        <v>16</v>
      </c>
      <c r="K351" s="3" t="s">
        <v>36</v>
      </c>
      <c r="L351">
        <f t="shared" si="33"/>
        <v>2026</v>
      </c>
      <c r="M351">
        <f t="shared" si="30"/>
        <v>2</v>
      </c>
      <c r="N351" t="str">
        <f t="shared" si="31"/>
        <v>Feb</v>
      </c>
      <c r="O351" t="str">
        <f t="shared" si="32"/>
        <v>2026-02</v>
      </c>
      <c r="P351" t="str">
        <f t="shared" si="34"/>
        <v>2026-W07</v>
      </c>
      <c r="Q351" t="str">
        <f t="shared" si="35"/>
        <v>Tue</v>
      </c>
    </row>
    <row r="352" spans="1:17" x14ac:dyDescent="0.3">
      <c r="A352" s="2">
        <v>46063</v>
      </c>
      <c r="B352" s="3" t="s">
        <v>398</v>
      </c>
      <c r="C352" s="3" t="s">
        <v>50</v>
      </c>
      <c r="D352" s="3" t="s">
        <v>19</v>
      </c>
      <c r="E352" s="3" t="s">
        <v>41</v>
      </c>
      <c r="F352" s="3" t="s">
        <v>21</v>
      </c>
      <c r="G352" s="3">
        <v>118</v>
      </c>
      <c r="H352" s="4">
        <v>5313</v>
      </c>
      <c r="I352" s="4">
        <v>6000</v>
      </c>
      <c r="J352" s="3" t="s">
        <v>22</v>
      </c>
      <c r="K352" s="3" t="s">
        <v>17</v>
      </c>
      <c r="L352">
        <f t="shared" si="33"/>
        <v>2026</v>
      </c>
      <c r="M352">
        <f t="shared" si="30"/>
        <v>2</v>
      </c>
      <c r="N352" t="str">
        <f t="shared" si="31"/>
        <v>Feb</v>
      </c>
      <c r="O352" t="str">
        <f t="shared" si="32"/>
        <v>2026-02</v>
      </c>
      <c r="P352" t="str">
        <f t="shared" si="34"/>
        <v>2026-W07</v>
      </c>
      <c r="Q352" t="str">
        <f t="shared" si="35"/>
        <v>Tue</v>
      </c>
    </row>
    <row r="353" spans="1:17" x14ac:dyDescent="0.3">
      <c r="A353" s="2">
        <v>46064</v>
      </c>
      <c r="B353" s="3" t="s">
        <v>399</v>
      </c>
      <c r="C353" s="3" t="s">
        <v>38</v>
      </c>
      <c r="D353" s="3" t="s">
        <v>47</v>
      </c>
      <c r="E353" s="3" t="s">
        <v>44</v>
      </c>
      <c r="F353" s="3" t="s">
        <v>34</v>
      </c>
      <c r="G353" s="3">
        <v>107</v>
      </c>
      <c r="H353" s="4">
        <v>7344</v>
      </c>
      <c r="I353" s="4">
        <v>7300</v>
      </c>
      <c r="J353" s="3" t="s">
        <v>22</v>
      </c>
      <c r="K353" s="3" t="s">
        <v>36</v>
      </c>
      <c r="L353">
        <f t="shared" si="33"/>
        <v>2026</v>
      </c>
      <c r="M353">
        <f t="shared" si="30"/>
        <v>2</v>
      </c>
      <c r="N353" t="str">
        <f t="shared" si="31"/>
        <v>Feb</v>
      </c>
      <c r="O353" t="str">
        <f t="shared" si="32"/>
        <v>2026-02</v>
      </c>
      <c r="P353" t="str">
        <f t="shared" si="34"/>
        <v>2026-W07</v>
      </c>
      <c r="Q353" t="str">
        <f t="shared" si="35"/>
        <v>Wed</v>
      </c>
    </row>
    <row r="354" spans="1:17" x14ac:dyDescent="0.3">
      <c r="A354" s="2">
        <v>46065</v>
      </c>
      <c r="B354" s="3" t="s">
        <v>400</v>
      </c>
      <c r="C354" s="3" t="s">
        <v>12</v>
      </c>
      <c r="D354" s="3" t="s">
        <v>53</v>
      </c>
      <c r="E354" s="3" t="s">
        <v>123</v>
      </c>
      <c r="F354" s="3" t="s">
        <v>59</v>
      </c>
      <c r="G354" s="3">
        <v>46</v>
      </c>
      <c r="H354" s="4">
        <v>3909</v>
      </c>
      <c r="I354" s="4">
        <v>3700</v>
      </c>
      <c r="J354" s="3" t="s">
        <v>22</v>
      </c>
      <c r="K354" s="3" t="s">
        <v>36</v>
      </c>
      <c r="L354">
        <f t="shared" si="33"/>
        <v>2026</v>
      </c>
      <c r="M354">
        <f t="shared" si="30"/>
        <v>2</v>
      </c>
      <c r="N354" t="str">
        <f t="shared" si="31"/>
        <v>Feb</v>
      </c>
      <c r="O354" t="str">
        <f t="shared" si="32"/>
        <v>2026-02</v>
      </c>
      <c r="P354" t="str">
        <f t="shared" si="34"/>
        <v>2026-W07</v>
      </c>
      <c r="Q354" t="str">
        <f t="shared" si="35"/>
        <v>Thu</v>
      </c>
    </row>
    <row r="355" spans="1:17" x14ac:dyDescent="0.3">
      <c r="A355" s="2">
        <v>46066</v>
      </c>
      <c r="B355" s="3" t="s">
        <v>401</v>
      </c>
      <c r="C355" s="3" t="s">
        <v>43</v>
      </c>
      <c r="D355" s="3" t="s">
        <v>65</v>
      </c>
      <c r="E355" s="3" t="s">
        <v>44</v>
      </c>
      <c r="F355" s="3" t="s">
        <v>34</v>
      </c>
      <c r="G355" s="3">
        <v>119</v>
      </c>
      <c r="H355" s="4">
        <v>7687</v>
      </c>
      <c r="I355" s="4">
        <v>7300</v>
      </c>
      <c r="J355" s="3" t="s">
        <v>22</v>
      </c>
      <c r="K355" s="3" t="s">
        <v>23</v>
      </c>
      <c r="L355">
        <f t="shared" si="33"/>
        <v>2026</v>
      </c>
      <c r="M355">
        <f t="shared" si="30"/>
        <v>2</v>
      </c>
      <c r="N355" t="str">
        <f t="shared" si="31"/>
        <v>Feb</v>
      </c>
      <c r="O355" t="str">
        <f t="shared" si="32"/>
        <v>2026-02</v>
      </c>
      <c r="P355" t="str">
        <f t="shared" si="34"/>
        <v>2026-W07</v>
      </c>
      <c r="Q355" t="str">
        <f t="shared" si="35"/>
        <v>Fri</v>
      </c>
    </row>
    <row r="356" spans="1:17" x14ac:dyDescent="0.3">
      <c r="A356" s="2">
        <v>46066</v>
      </c>
      <c r="B356" s="3" t="s">
        <v>402</v>
      </c>
      <c r="C356" s="3" t="s">
        <v>12</v>
      </c>
      <c r="D356" s="3" t="s">
        <v>65</v>
      </c>
      <c r="E356" s="3" t="s">
        <v>48</v>
      </c>
      <c r="F356" s="3" t="s">
        <v>15</v>
      </c>
      <c r="G356" s="3">
        <v>79</v>
      </c>
      <c r="H356" s="4">
        <v>4090</v>
      </c>
      <c r="I356" s="4">
        <v>4700</v>
      </c>
      <c r="J356" s="3" t="s">
        <v>22</v>
      </c>
      <c r="K356" s="3" t="s">
        <v>23</v>
      </c>
      <c r="L356">
        <f t="shared" si="33"/>
        <v>2026</v>
      </c>
      <c r="M356">
        <f t="shared" si="30"/>
        <v>2</v>
      </c>
      <c r="N356" t="str">
        <f t="shared" si="31"/>
        <v>Feb</v>
      </c>
      <c r="O356" t="str">
        <f t="shared" si="32"/>
        <v>2026-02</v>
      </c>
      <c r="P356" t="str">
        <f t="shared" si="34"/>
        <v>2026-W07</v>
      </c>
      <c r="Q356" t="str">
        <f t="shared" si="35"/>
        <v>Fri</v>
      </c>
    </row>
    <row r="357" spans="1:17" x14ac:dyDescent="0.3">
      <c r="A357" s="2">
        <v>46066</v>
      </c>
      <c r="B357" s="3" t="s">
        <v>403</v>
      </c>
      <c r="C357" s="3" t="s">
        <v>57</v>
      </c>
      <c r="D357" s="3" t="s">
        <v>65</v>
      </c>
      <c r="E357" s="3" t="s">
        <v>41</v>
      </c>
      <c r="F357" s="3" t="s">
        <v>21</v>
      </c>
      <c r="G357" s="3">
        <v>89</v>
      </c>
      <c r="H357" s="4">
        <v>3149</v>
      </c>
      <c r="I357" s="4">
        <v>3400</v>
      </c>
      <c r="J357" s="3" t="s">
        <v>22</v>
      </c>
      <c r="K357" s="3" t="s">
        <v>30</v>
      </c>
      <c r="L357">
        <f t="shared" si="33"/>
        <v>2026</v>
      </c>
      <c r="M357">
        <f t="shared" si="30"/>
        <v>2</v>
      </c>
      <c r="N357" t="str">
        <f t="shared" si="31"/>
        <v>Feb</v>
      </c>
      <c r="O357" t="str">
        <f t="shared" si="32"/>
        <v>2026-02</v>
      </c>
      <c r="P357" t="str">
        <f t="shared" si="34"/>
        <v>2026-W07</v>
      </c>
      <c r="Q357" t="str">
        <f t="shared" si="35"/>
        <v>Fri</v>
      </c>
    </row>
    <row r="358" spans="1:17" x14ac:dyDescent="0.3">
      <c r="A358" s="2">
        <v>46067</v>
      </c>
      <c r="B358" s="3" t="s">
        <v>404</v>
      </c>
      <c r="C358" s="3" t="s">
        <v>25</v>
      </c>
      <c r="D358" s="3" t="s">
        <v>26</v>
      </c>
      <c r="E358" s="3" t="s">
        <v>20</v>
      </c>
      <c r="F358" s="3" t="s">
        <v>21</v>
      </c>
      <c r="G358" s="3">
        <v>35</v>
      </c>
      <c r="H358" s="4">
        <v>1427</v>
      </c>
      <c r="I358" s="4">
        <v>1600</v>
      </c>
      <c r="J358" s="3" t="s">
        <v>22</v>
      </c>
      <c r="K358" s="3" t="s">
        <v>17</v>
      </c>
      <c r="L358">
        <f t="shared" si="33"/>
        <v>2026</v>
      </c>
      <c r="M358">
        <f t="shared" si="30"/>
        <v>2</v>
      </c>
      <c r="N358" t="str">
        <f t="shared" si="31"/>
        <v>Feb</v>
      </c>
      <c r="O358" t="str">
        <f t="shared" si="32"/>
        <v>2026-02</v>
      </c>
      <c r="P358" t="str">
        <f t="shared" si="34"/>
        <v>2026-W07</v>
      </c>
      <c r="Q358" t="str">
        <f t="shared" si="35"/>
        <v>Sat</v>
      </c>
    </row>
    <row r="359" spans="1:17" x14ac:dyDescent="0.3">
      <c r="A359" s="2">
        <v>46068</v>
      </c>
      <c r="B359" s="3" t="s">
        <v>405</v>
      </c>
      <c r="C359" s="3" t="s">
        <v>38</v>
      </c>
      <c r="D359" s="3" t="s">
        <v>26</v>
      </c>
      <c r="E359" s="3" t="s">
        <v>58</v>
      </c>
      <c r="F359" s="3" t="s">
        <v>59</v>
      </c>
      <c r="G359" s="3">
        <v>44</v>
      </c>
      <c r="H359" s="4">
        <v>4998</v>
      </c>
      <c r="I359" s="4">
        <v>5800</v>
      </c>
      <c r="J359" s="3" t="s">
        <v>22</v>
      </c>
      <c r="K359" s="3" t="s">
        <v>36</v>
      </c>
      <c r="L359">
        <f t="shared" si="33"/>
        <v>2026</v>
      </c>
      <c r="M359">
        <f t="shared" si="30"/>
        <v>2</v>
      </c>
      <c r="N359" t="str">
        <f t="shared" si="31"/>
        <v>Feb</v>
      </c>
      <c r="O359" t="str">
        <f t="shared" si="32"/>
        <v>2026-02</v>
      </c>
      <c r="P359" t="str">
        <f t="shared" si="34"/>
        <v>2026-W07</v>
      </c>
      <c r="Q359" t="str">
        <f t="shared" si="35"/>
        <v>Sun</v>
      </c>
    </row>
    <row r="360" spans="1:17" x14ac:dyDescent="0.3">
      <c r="A360" s="2">
        <v>46068</v>
      </c>
      <c r="B360" s="3" t="s">
        <v>406</v>
      </c>
      <c r="C360" s="3" t="s">
        <v>32</v>
      </c>
      <c r="D360" s="3" t="s">
        <v>65</v>
      </c>
      <c r="E360" s="3" t="s">
        <v>14</v>
      </c>
      <c r="F360" s="3" t="s">
        <v>15</v>
      </c>
      <c r="G360" s="3">
        <v>16</v>
      </c>
      <c r="H360" s="4">
        <v>824</v>
      </c>
      <c r="I360" s="4">
        <v>900</v>
      </c>
      <c r="J360" s="3" t="s">
        <v>22</v>
      </c>
      <c r="K360" s="3" t="s">
        <v>36</v>
      </c>
      <c r="L360">
        <f t="shared" si="33"/>
        <v>2026</v>
      </c>
      <c r="M360">
        <f t="shared" si="30"/>
        <v>2</v>
      </c>
      <c r="N360" t="str">
        <f t="shared" si="31"/>
        <v>Feb</v>
      </c>
      <c r="O360" t="str">
        <f t="shared" si="32"/>
        <v>2026-02</v>
      </c>
      <c r="P360" t="str">
        <f t="shared" si="34"/>
        <v>2026-W07</v>
      </c>
      <c r="Q360" t="str">
        <f t="shared" si="35"/>
        <v>Sun</v>
      </c>
    </row>
    <row r="361" spans="1:17" x14ac:dyDescent="0.3">
      <c r="A361" s="2">
        <v>46068</v>
      </c>
      <c r="B361" s="3" t="s">
        <v>407</v>
      </c>
      <c r="C361" s="3" t="s">
        <v>32</v>
      </c>
      <c r="D361" s="3" t="s">
        <v>53</v>
      </c>
      <c r="E361" s="3" t="s">
        <v>68</v>
      </c>
      <c r="F361" s="3" t="s">
        <v>34</v>
      </c>
      <c r="G361" s="3">
        <v>108</v>
      </c>
      <c r="H361" s="4">
        <v>7344</v>
      </c>
      <c r="I361" s="4">
        <v>5900</v>
      </c>
      <c r="J361" s="3" t="s">
        <v>22</v>
      </c>
      <c r="K361" s="3" t="s">
        <v>30</v>
      </c>
      <c r="L361">
        <f t="shared" si="33"/>
        <v>2026</v>
      </c>
      <c r="M361">
        <f t="shared" si="30"/>
        <v>2</v>
      </c>
      <c r="N361" t="str">
        <f t="shared" si="31"/>
        <v>Feb</v>
      </c>
      <c r="O361" t="str">
        <f t="shared" si="32"/>
        <v>2026-02</v>
      </c>
      <c r="P361" t="str">
        <f t="shared" si="34"/>
        <v>2026-W07</v>
      </c>
      <c r="Q361" t="str">
        <f t="shared" si="35"/>
        <v>Sun</v>
      </c>
    </row>
    <row r="362" spans="1:17" x14ac:dyDescent="0.3">
      <c r="A362" s="2">
        <v>46068</v>
      </c>
      <c r="B362" s="3" t="s">
        <v>408</v>
      </c>
      <c r="C362" s="3" t="s">
        <v>91</v>
      </c>
      <c r="D362" s="3" t="s">
        <v>47</v>
      </c>
      <c r="E362" s="3" t="s">
        <v>58</v>
      </c>
      <c r="F362" s="3" t="s">
        <v>59</v>
      </c>
      <c r="G362" s="3">
        <v>80</v>
      </c>
      <c r="H362" s="4">
        <v>6835</v>
      </c>
      <c r="I362" s="4">
        <v>7000</v>
      </c>
      <c r="J362" s="3" t="s">
        <v>16</v>
      </c>
      <c r="K362" s="3" t="s">
        <v>36</v>
      </c>
      <c r="L362">
        <f t="shared" si="33"/>
        <v>2026</v>
      </c>
      <c r="M362">
        <f t="shared" si="30"/>
        <v>2</v>
      </c>
      <c r="N362" t="str">
        <f t="shared" si="31"/>
        <v>Feb</v>
      </c>
      <c r="O362" t="str">
        <f t="shared" si="32"/>
        <v>2026-02</v>
      </c>
      <c r="P362" t="str">
        <f t="shared" si="34"/>
        <v>2026-W07</v>
      </c>
      <c r="Q362" t="str">
        <f t="shared" si="35"/>
        <v>Sun</v>
      </c>
    </row>
    <row r="363" spans="1:17" x14ac:dyDescent="0.3">
      <c r="A363" s="2">
        <v>46068</v>
      </c>
      <c r="B363" s="3" t="s">
        <v>409</v>
      </c>
      <c r="C363" s="3" t="s">
        <v>43</v>
      </c>
      <c r="D363" s="3" t="s">
        <v>47</v>
      </c>
      <c r="E363" s="3" t="s">
        <v>33</v>
      </c>
      <c r="F363" s="3" t="s">
        <v>34</v>
      </c>
      <c r="G363" s="3">
        <v>13</v>
      </c>
      <c r="H363" s="4">
        <v>697</v>
      </c>
      <c r="I363" s="4">
        <v>900</v>
      </c>
      <c r="J363" s="3" t="s">
        <v>39</v>
      </c>
      <c r="K363" s="3" t="s">
        <v>17</v>
      </c>
      <c r="L363">
        <f t="shared" si="33"/>
        <v>2026</v>
      </c>
      <c r="M363">
        <f t="shared" si="30"/>
        <v>2</v>
      </c>
      <c r="N363" t="str">
        <f t="shared" si="31"/>
        <v>Feb</v>
      </c>
      <c r="O363" t="str">
        <f t="shared" si="32"/>
        <v>2026-02</v>
      </c>
      <c r="P363" t="str">
        <f t="shared" si="34"/>
        <v>2026-W07</v>
      </c>
      <c r="Q363" t="str">
        <f t="shared" si="35"/>
        <v>Sun</v>
      </c>
    </row>
    <row r="364" spans="1:17" x14ac:dyDescent="0.3">
      <c r="A364" s="2">
        <v>46069</v>
      </c>
      <c r="B364" s="3" t="s">
        <v>410</v>
      </c>
      <c r="C364" s="3" t="s">
        <v>25</v>
      </c>
      <c r="D364" s="3" t="s">
        <v>19</v>
      </c>
      <c r="E364" s="3" t="s">
        <v>14</v>
      </c>
      <c r="F364" s="3" t="s">
        <v>15</v>
      </c>
      <c r="G364" s="3">
        <v>103</v>
      </c>
      <c r="H364" s="4">
        <v>5317</v>
      </c>
      <c r="I364" s="4">
        <v>4600</v>
      </c>
      <c r="J364" s="3" t="s">
        <v>22</v>
      </c>
      <c r="K364" s="3" t="s">
        <v>30</v>
      </c>
      <c r="L364">
        <f t="shared" si="33"/>
        <v>2026</v>
      </c>
      <c r="M364">
        <f t="shared" si="30"/>
        <v>2</v>
      </c>
      <c r="N364" t="str">
        <f t="shared" si="31"/>
        <v>Feb</v>
      </c>
      <c r="O364" t="str">
        <f t="shared" si="32"/>
        <v>2026-02</v>
      </c>
      <c r="P364" t="str">
        <f t="shared" si="34"/>
        <v>2026-W08</v>
      </c>
      <c r="Q364" t="str">
        <f t="shared" si="35"/>
        <v>Mon</v>
      </c>
    </row>
    <row r="365" spans="1:17" x14ac:dyDescent="0.3">
      <c r="A365" s="2">
        <v>46069</v>
      </c>
      <c r="B365" s="3" t="s">
        <v>411</v>
      </c>
      <c r="C365" s="3" t="s">
        <v>57</v>
      </c>
      <c r="D365" s="3" t="s">
        <v>65</v>
      </c>
      <c r="E365" s="3" t="s">
        <v>61</v>
      </c>
      <c r="F365" s="3" t="s">
        <v>59</v>
      </c>
      <c r="G365" s="3">
        <v>102</v>
      </c>
      <c r="H365" s="4">
        <v>10214</v>
      </c>
      <c r="I365" s="4">
        <v>8700</v>
      </c>
      <c r="J365" s="3" t="s">
        <v>22</v>
      </c>
      <c r="K365" s="3" t="s">
        <v>30</v>
      </c>
      <c r="L365">
        <f t="shared" si="33"/>
        <v>2026</v>
      </c>
      <c r="M365">
        <f t="shared" si="30"/>
        <v>2</v>
      </c>
      <c r="N365" t="str">
        <f t="shared" si="31"/>
        <v>Feb</v>
      </c>
      <c r="O365" t="str">
        <f t="shared" si="32"/>
        <v>2026-02</v>
      </c>
      <c r="P365" t="str">
        <f t="shared" si="34"/>
        <v>2026-W08</v>
      </c>
      <c r="Q365" t="str">
        <f t="shared" si="35"/>
        <v>Mon</v>
      </c>
    </row>
    <row r="366" spans="1:17" x14ac:dyDescent="0.3">
      <c r="A366" s="2">
        <v>46070</v>
      </c>
      <c r="B366" s="3" t="s">
        <v>412</v>
      </c>
      <c r="C366" s="3" t="s">
        <v>50</v>
      </c>
      <c r="D366" s="3" t="s">
        <v>26</v>
      </c>
      <c r="E366" s="3" t="s">
        <v>48</v>
      </c>
      <c r="F366" s="3" t="s">
        <v>15</v>
      </c>
      <c r="G366" s="3">
        <v>87</v>
      </c>
      <c r="H366" s="4">
        <v>4690</v>
      </c>
      <c r="I366" s="4">
        <v>3800</v>
      </c>
      <c r="J366" s="3" t="s">
        <v>16</v>
      </c>
      <c r="K366" s="3" t="s">
        <v>17</v>
      </c>
      <c r="L366">
        <f t="shared" si="33"/>
        <v>2026</v>
      </c>
      <c r="M366">
        <f t="shared" si="30"/>
        <v>2</v>
      </c>
      <c r="N366" t="str">
        <f t="shared" si="31"/>
        <v>Feb</v>
      </c>
      <c r="O366" t="str">
        <f t="shared" si="32"/>
        <v>2026-02</v>
      </c>
      <c r="P366" t="str">
        <f t="shared" si="34"/>
        <v>2026-W08</v>
      </c>
      <c r="Q366" t="str">
        <f t="shared" si="35"/>
        <v>Tue</v>
      </c>
    </row>
    <row r="367" spans="1:17" x14ac:dyDescent="0.3">
      <c r="A367" s="2">
        <v>46070</v>
      </c>
      <c r="B367" s="3" t="s">
        <v>413</v>
      </c>
      <c r="C367" s="3" t="s">
        <v>32</v>
      </c>
      <c r="D367" s="3" t="s">
        <v>19</v>
      </c>
      <c r="E367" s="3" t="s">
        <v>14</v>
      </c>
      <c r="F367" s="3" t="s">
        <v>15</v>
      </c>
      <c r="G367" s="3">
        <v>7</v>
      </c>
      <c r="H367" s="4">
        <v>417</v>
      </c>
      <c r="I367" s="4">
        <v>500</v>
      </c>
      <c r="J367" s="3" t="s">
        <v>22</v>
      </c>
      <c r="K367" s="3" t="s">
        <v>36</v>
      </c>
      <c r="L367">
        <f t="shared" si="33"/>
        <v>2026</v>
      </c>
      <c r="M367">
        <f t="shared" si="30"/>
        <v>2</v>
      </c>
      <c r="N367" t="str">
        <f t="shared" si="31"/>
        <v>Feb</v>
      </c>
      <c r="O367" t="str">
        <f t="shared" si="32"/>
        <v>2026-02</v>
      </c>
      <c r="P367" t="str">
        <f t="shared" si="34"/>
        <v>2026-W08</v>
      </c>
      <c r="Q367" t="str">
        <f t="shared" si="35"/>
        <v>Tue</v>
      </c>
    </row>
    <row r="368" spans="1:17" x14ac:dyDescent="0.3">
      <c r="A368" s="2">
        <v>46071</v>
      </c>
      <c r="B368" s="3" t="s">
        <v>414</v>
      </c>
      <c r="C368" s="3" t="s">
        <v>91</v>
      </c>
      <c r="D368" s="3" t="s">
        <v>26</v>
      </c>
      <c r="E368" s="3" t="s">
        <v>48</v>
      </c>
      <c r="F368" s="3" t="s">
        <v>15</v>
      </c>
      <c r="G368" s="3">
        <v>33</v>
      </c>
      <c r="H368" s="4">
        <v>1718</v>
      </c>
      <c r="I368" s="4">
        <v>1500</v>
      </c>
      <c r="J368" s="3" t="s">
        <v>22</v>
      </c>
      <c r="K368" s="3" t="s">
        <v>17</v>
      </c>
      <c r="L368">
        <f t="shared" si="33"/>
        <v>2026</v>
      </c>
      <c r="M368">
        <f t="shared" si="30"/>
        <v>2</v>
      </c>
      <c r="N368" t="str">
        <f t="shared" si="31"/>
        <v>Feb</v>
      </c>
      <c r="O368" t="str">
        <f t="shared" si="32"/>
        <v>2026-02</v>
      </c>
      <c r="P368" t="str">
        <f t="shared" si="34"/>
        <v>2026-W08</v>
      </c>
      <c r="Q368" t="str">
        <f t="shared" si="35"/>
        <v>Wed</v>
      </c>
    </row>
    <row r="369" spans="1:17" x14ac:dyDescent="0.3">
      <c r="A369" s="2">
        <v>46071</v>
      </c>
      <c r="B369" s="3" t="s">
        <v>415</v>
      </c>
      <c r="C369" s="3" t="s">
        <v>50</v>
      </c>
      <c r="D369" s="3" t="s">
        <v>19</v>
      </c>
      <c r="E369" s="3" t="s">
        <v>14</v>
      </c>
      <c r="F369" s="3" t="s">
        <v>15</v>
      </c>
      <c r="G369" s="3">
        <v>25</v>
      </c>
      <c r="H369" s="4">
        <v>1277</v>
      </c>
      <c r="I369" s="4">
        <v>1300</v>
      </c>
      <c r="J369" s="3" t="s">
        <v>22</v>
      </c>
      <c r="K369" s="3" t="s">
        <v>30</v>
      </c>
      <c r="L369">
        <f t="shared" si="33"/>
        <v>2026</v>
      </c>
      <c r="M369">
        <f t="shared" si="30"/>
        <v>2</v>
      </c>
      <c r="N369" t="str">
        <f t="shared" si="31"/>
        <v>Feb</v>
      </c>
      <c r="O369" t="str">
        <f t="shared" si="32"/>
        <v>2026-02</v>
      </c>
      <c r="P369" t="str">
        <f t="shared" si="34"/>
        <v>2026-W08</v>
      </c>
      <c r="Q369" t="str">
        <f t="shared" si="35"/>
        <v>Wed</v>
      </c>
    </row>
    <row r="370" spans="1:17" x14ac:dyDescent="0.3">
      <c r="A370" s="2">
        <v>46071</v>
      </c>
      <c r="B370" s="3" t="s">
        <v>416</v>
      </c>
      <c r="C370" s="3" t="s">
        <v>57</v>
      </c>
      <c r="D370" s="3" t="s">
        <v>65</v>
      </c>
      <c r="E370" s="3" t="s">
        <v>41</v>
      </c>
      <c r="F370" s="3" t="s">
        <v>21</v>
      </c>
      <c r="G370" s="3">
        <v>58</v>
      </c>
      <c r="H370" s="4">
        <v>1917</v>
      </c>
      <c r="I370" s="4">
        <v>2300</v>
      </c>
      <c r="J370" s="3" t="s">
        <v>22</v>
      </c>
      <c r="K370" s="3" t="s">
        <v>30</v>
      </c>
      <c r="L370">
        <f t="shared" si="33"/>
        <v>2026</v>
      </c>
      <c r="M370">
        <f t="shared" si="30"/>
        <v>2</v>
      </c>
      <c r="N370" t="str">
        <f t="shared" si="31"/>
        <v>Feb</v>
      </c>
      <c r="O370" t="str">
        <f t="shared" si="32"/>
        <v>2026-02</v>
      </c>
      <c r="P370" t="str">
        <f t="shared" si="34"/>
        <v>2026-W08</v>
      </c>
      <c r="Q370" t="str">
        <f t="shared" si="35"/>
        <v>Wed</v>
      </c>
    </row>
    <row r="371" spans="1:17" x14ac:dyDescent="0.3">
      <c r="A371" s="2">
        <v>46072</v>
      </c>
      <c r="B371" s="3" t="s">
        <v>417</v>
      </c>
      <c r="C371" s="3" t="s">
        <v>32</v>
      </c>
      <c r="D371" s="3" t="s">
        <v>65</v>
      </c>
      <c r="E371" s="3" t="s">
        <v>123</v>
      </c>
      <c r="F371" s="3" t="s">
        <v>59</v>
      </c>
      <c r="G371" s="3">
        <v>45</v>
      </c>
      <c r="H371" s="4">
        <v>5291</v>
      </c>
      <c r="I371" s="4">
        <v>5300</v>
      </c>
      <c r="J371" s="3" t="s">
        <v>39</v>
      </c>
      <c r="K371" s="3" t="s">
        <v>30</v>
      </c>
      <c r="L371">
        <f t="shared" si="33"/>
        <v>2026</v>
      </c>
      <c r="M371">
        <f t="shared" si="30"/>
        <v>2</v>
      </c>
      <c r="N371" t="str">
        <f t="shared" si="31"/>
        <v>Feb</v>
      </c>
      <c r="O371" t="str">
        <f t="shared" si="32"/>
        <v>2026-02</v>
      </c>
      <c r="P371" t="str">
        <f t="shared" si="34"/>
        <v>2026-W08</v>
      </c>
      <c r="Q371" t="str">
        <f t="shared" si="35"/>
        <v>Thu</v>
      </c>
    </row>
    <row r="372" spans="1:17" x14ac:dyDescent="0.3">
      <c r="A372" s="2">
        <v>46072</v>
      </c>
      <c r="B372" s="3" t="s">
        <v>418</v>
      </c>
      <c r="C372" s="3" t="s">
        <v>25</v>
      </c>
      <c r="D372" s="3" t="s">
        <v>26</v>
      </c>
      <c r="E372" s="3" t="s">
        <v>58</v>
      </c>
      <c r="F372" s="3" t="s">
        <v>59</v>
      </c>
      <c r="G372" s="3">
        <v>39</v>
      </c>
      <c r="H372" s="4">
        <v>3511</v>
      </c>
      <c r="I372" s="4">
        <v>3200</v>
      </c>
      <c r="J372" s="3" t="s">
        <v>22</v>
      </c>
      <c r="K372" s="3" t="s">
        <v>36</v>
      </c>
      <c r="L372">
        <f t="shared" si="33"/>
        <v>2026</v>
      </c>
      <c r="M372">
        <f t="shared" si="30"/>
        <v>2</v>
      </c>
      <c r="N372" t="str">
        <f t="shared" si="31"/>
        <v>Feb</v>
      </c>
      <c r="O372" t="str">
        <f t="shared" si="32"/>
        <v>2026-02</v>
      </c>
      <c r="P372" t="str">
        <f t="shared" si="34"/>
        <v>2026-W08</v>
      </c>
      <c r="Q372" t="str">
        <f t="shared" si="35"/>
        <v>Thu</v>
      </c>
    </row>
    <row r="373" spans="1:17" x14ac:dyDescent="0.3">
      <c r="A373" s="2">
        <v>46072</v>
      </c>
      <c r="B373" s="3" t="s">
        <v>419</v>
      </c>
      <c r="C373" s="3" t="s">
        <v>25</v>
      </c>
      <c r="D373" s="3" t="s">
        <v>65</v>
      </c>
      <c r="E373" s="3" t="s">
        <v>41</v>
      </c>
      <c r="F373" s="3" t="s">
        <v>21</v>
      </c>
      <c r="G373" s="3">
        <v>101</v>
      </c>
      <c r="H373" s="4">
        <v>4267</v>
      </c>
      <c r="I373" s="4">
        <v>3400</v>
      </c>
      <c r="J373" s="3" t="s">
        <v>39</v>
      </c>
      <c r="K373" s="3" t="s">
        <v>30</v>
      </c>
      <c r="L373">
        <f t="shared" si="33"/>
        <v>2026</v>
      </c>
      <c r="M373">
        <f t="shared" si="30"/>
        <v>2</v>
      </c>
      <c r="N373" t="str">
        <f t="shared" si="31"/>
        <v>Feb</v>
      </c>
      <c r="O373" t="str">
        <f t="shared" si="32"/>
        <v>2026-02</v>
      </c>
      <c r="P373" t="str">
        <f t="shared" si="34"/>
        <v>2026-W08</v>
      </c>
      <c r="Q373" t="str">
        <f t="shared" si="35"/>
        <v>Thu</v>
      </c>
    </row>
    <row r="374" spans="1:17" x14ac:dyDescent="0.3">
      <c r="A374" s="2">
        <v>46073</v>
      </c>
      <c r="B374" s="3" t="s">
        <v>420</v>
      </c>
      <c r="C374" s="3" t="s">
        <v>25</v>
      </c>
      <c r="D374" s="3" t="s">
        <v>19</v>
      </c>
      <c r="E374" s="3" t="s">
        <v>29</v>
      </c>
      <c r="F374" s="3" t="s">
        <v>21</v>
      </c>
      <c r="G374" s="3">
        <v>110</v>
      </c>
      <c r="H374" s="4">
        <v>5048</v>
      </c>
      <c r="I374" s="4">
        <v>4200</v>
      </c>
      <c r="J374" s="3" t="s">
        <v>39</v>
      </c>
      <c r="K374" s="3" t="s">
        <v>36</v>
      </c>
      <c r="L374">
        <f t="shared" si="33"/>
        <v>2026</v>
      </c>
      <c r="M374">
        <f t="shared" si="30"/>
        <v>2</v>
      </c>
      <c r="N374" t="str">
        <f t="shared" si="31"/>
        <v>Feb</v>
      </c>
      <c r="O374" t="str">
        <f t="shared" si="32"/>
        <v>2026-02</v>
      </c>
      <c r="P374" t="str">
        <f t="shared" si="34"/>
        <v>2026-W08</v>
      </c>
      <c r="Q374" t="str">
        <f t="shared" si="35"/>
        <v>Fri</v>
      </c>
    </row>
    <row r="375" spans="1:17" x14ac:dyDescent="0.3">
      <c r="A375" s="2">
        <v>46073</v>
      </c>
      <c r="B375" s="3" t="s">
        <v>421</v>
      </c>
      <c r="C375" s="3" t="s">
        <v>32</v>
      </c>
      <c r="D375" s="3" t="s">
        <v>26</v>
      </c>
      <c r="E375" s="3" t="s">
        <v>33</v>
      </c>
      <c r="F375" s="3" t="s">
        <v>34</v>
      </c>
      <c r="G375" s="3">
        <v>50</v>
      </c>
      <c r="H375" s="4">
        <v>3434</v>
      </c>
      <c r="I375" s="4">
        <v>3900</v>
      </c>
      <c r="J375" s="3" t="s">
        <v>22</v>
      </c>
      <c r="K375" s="3" t="s">
        <v>30</v>
      </c>
      <c r="L375">
        <f t="shared" si="33"/>
        <v>2026</v>
      </c>
      <c r="M375">
        <f t="shared" si="30"/>
        <v>2</v>
      </c>
      <c r="N375" t="str">
        <f t="shared" si="31"/>
        <v>Feb</v>
      </c>
      <c r="O375" t="str">
        <f t="shared" si="32"/>
        <v>2026-02</v>
      </c>
      <c r="P375" t="str">
        <f t="shared" si="34"/>
        <v>2026-W08</v>
      </c>
      <c r="Q375" t="str">
        <f t="shared" si="35"/>
        <v>Fri</v>
      </c>
    </row>
    <row r="376" spans="1:17" x14ac:dyDescent="0.3">
      <c r="A376" s="2">
        <v>46073</v>
      </c>
      <c r="B376" s="3" t="s">
        <v>422</v>
      </c>
      <c r="C376" s="3" t="s">
        <v>57</v>
      </c>
      <c r="D376" s="3" t="s">
        <v>19</v>
      </c>
      <c r="E376" s="3" t="s">
        <v>27</v>
      </c>
      <c r="F376" s="3" t="s">
        <v>15</v>
      </c>
      <c r="G376" s="3">
        <v>39</v>
      </c>
      <c r="H376" s="4">
        <v>1849</v>
      </c>
      <c r="I376" s="4">
        <v>1600</v>
      </c>
      <c r="J376" s="3" t="s">
        <v>39</v>
      </c>
      <c r="K376" s="3" t="s">
        <v>30</v>
      </c>
      <c r="L376">
        <f t="shared" si="33"/>
        <v>2026</v>
      </c>
      <c r="M376">
        <f t="shared" si="30"/>
        <v>2</v>
      </c>
      <c r="N376" t="str">
        <f t="shared" si="31"/>
        <v>Feb</v>
      </c>
      <c r="O376" t="str">
        <f t="shared" si="32"/>
        <v>2026-02</v>
      </c>
      <c r="P376" t="str">
        <f t="shared" si="34"/>
        <v>2026-W08</v>
      </c>
      <c r="Q376" t="str">
        <f t="shared" si="35"/>
        <v>Fri</v>
      </c>
    </row>
    <row r="377" spans="1:17" x14ac:dyDescent="0.3">
      <c r="A377" s="2">
        <v>46073</v>
      </c>
      <c r="B377" s="3" t="s">
        <v>423</v>
      </c>
      <c r="C377" s="3" t="s">
        <v>43</v>
      </c>
      <c r="D377" s="3" t="s">
        <v>53</v>
      </c>
      <c r="E377" s="3" t="s">
        <v>29</v>
      </c>
      <c r="F377" s="3" t="s">
        <v>21</v>
      </c>
      <c r="G377" s="3">
        <v>27</v>
      </c>
      <c r="H377" s="4">
        <v>1146</v>
      </c>
      <c r="I377" s="4">
        <v>1300</v>
      </c>
      <c r="J377" s="3" t="s">
        <v>39</v>
      </c>
      <c r="K377" s="3" t="s">
        <v>23</v>
      </c>
      <c r="L377">
        <f t="shared" si="33"/>
        <v>2026</v>
      </c>
      <c r="M377">
        <f t="shared" si="30"/>
        <v>2</v>
      </c>
      <c r="N377" t="str">
        <f t="shared" si="31"/>
        <v>Feb</v>
      </c>
      <c r="O377" t="str">
        <f t="shared" si="32"/>
        <v>2026-02</v>
      </c>
      <c r="P377" t="str">
        <f t="shared" si="34"/>
        <v>2026-W08</v>
      </c>
      <c r="Q377" t="str">
        <f t="shared" si="35"/>
        <v>Fri</v>
      </c>
    </row>
    <row r="378" spans="1:17" x14ac:dyDescent="0.3">
      <c r="A378" s="2">
        <v>46073</v>
      </c>
      <c r="B378" s="3" t="s">
        <v>424</v>
      </c>
      <c r="C378" s="3" t="s">
        <v>50</v>
      </c>
      <c r="D378" s="3" t="s">
        <v>53</v>
      </c>
      <c r="E378" s="3" t="s">
        <v>123</v>
      </c>
      <c r="F378" s="3" t="s">
        <v>59</v>
      </c>
      <c r="G378" s="3">
        <v>28</v>
      </c>
      <c r="H378" s="4">
        <v>2771</v>
      </c>
      <c r="I378" s="4">
        <v>3200</v>
      </c>
      <c r="J378" s="3" t="s">
        <v>22</v>
      </c>
      <c r="K378" s="3" t="s">
        <v>36</v>
      </c>
      <c r="L378">
        <f t="shared" si="33"/>
        <v>2026</v>
      </c>
      <c r="M378">
        <f t="shared" si="30"/>
        <v>2</v>
      </c>
      <c r="N378" t="str">
        <f t="shared" si="31"/>
        <v>Feb</v>
      </c>
      <c r="O378" t="str">
        <f t="shared" si="32"/>
        <v>2026-02</v>
      </c>
      <c r="P378" t="str">
        <f t="shared" si="34"/>
        <v>2026-W08</v>
      </c>
      <c r="Q378" t="str">
        <f t="shared" si="35"/>
        <v>Fri</v>
      </c>
    </row>
    <row r="379" spans="1:17" x14ac:dyDescent="0.3">
      <c r="A379" s="2">
        <v>46073</v>
      </c>
      <c r="B379" s="3" t="s">
        <v>425</v>
      </c>
      <c r="C379" s="3" t="s">
        <v>57</v>
      </c>
      <c r="D379" s="3" t="s">
        <v>19</v>
      </c>
      <c r="E379" s="3" t="s">
        <v>44</v>
      </c>
      <c r="F379" s="3" t="s">
        <v>34</v>
      </c>
      <c r="G379" s="3">
        <v>105</v>
      </c>
      <c r="H379" s="4">
        <v>5624</v>
      </c>
      <c r="I379" s="4">
        <v>4900</v>
      </c>
      <c r="J379" s="3" t="s">
        <v>22</v>
      </c>
      <c r="K379" s="3" t="s">
        <v>23</v>
      </c>
      <c r="L379">
        <f t="shared" si="33"/>
        <v>2026</v>
      </c>
      <c r="M379">
        <f t="shared" si="30"/>
        <v>2</v>
      </c>
      <c r="N379" t="str">
        <f t="shared" si="31"/>
        <v>Feb</v>
      </c>
      <c r="O379" t="str">
        <f t="shared" si="32"/>
        <v>2026-02</v>
      </c>
      <c r="P379" t="str">
        <f t="shared" si="34"/>
        <v>2026-W08</v>
      </c>
      <c r="Q379" t="str">
        <f t="shared" si="35"/>
        <v>Fri</v>
      </c>
    </row>
    <row r="380" spans="1:17" x14ac:dyDescent="0.3">
      <c r="A380" s="2">
        <v>46074</v>
      </c>
      <c r="B380" s="3" t="s">
        <v>426</v>
      </c>
      <c r="C380" s="3" t="s">
        <v>32</v>
      </c>
      <c r="D380" s="3" t="s">
        <v>53</v>
      </c>
      <c r="E380" s="3" t="s">
        <v>44</v>
      </c>
      <c r="F380" s="3" t="s">
        <v>34</v>
      </c>
      <c r="G380" s="3">
        <v>15</v>
      </c>
      <c r="H380" s="4">
        <v>1092</v>
      </c>
      <c r="I380" s="4">
        <v>1300</v>
      </c>
      <c r="J380" s="3" t="s">
        <v>39</v>
      </c>
      <c r="K380" s="3" t="s">
        <v>36</v>
      </c>
      <c r="L380">
        <f t="shared" si="33"/>
        <v>2026</v>
      </c>
      <c r="M380">
        <f t="shared" si="30"/>
        <v>2</v>
      </c>
      <c r="N380" t="str">
        <f t="shared" si="31"/>
        <v>Feb</v>
      </c>
      <c r="O380" t="str">
        <f t="shared" si="32"/>
        <v>2026-02</v>
      </c>
      <c r="P380" t="str">
        <f t="shared" si="34"/>
        <v>2026-W08</v>
      </c>
      <c r="Q380" t="str">
        <f t="shared" si="35"/>
        <v>Sat</v>
      </c>
    </row>
    <row r="381" spans="1:17" x14ac:dyDescent="0.3">
      <c r="A381" s="2">
        <v>46074</v>
      </c>
      <c r="B381" s="3" t="s">
        <v>427</v>
      </c>
      <c r="C381" s="3" t="s">
        <v>12</v>
      </c>
      <c r="D381" s="3" t="s">
        <v>19</v>
      </c>
      <c r="E381" s="3" t="s">
        <v>14</v>
      </c>
      <c r="F381" s="3" t="s">
        <v>15</v>
      </c>
      <c r="G381" s="3">
        <v>65</v>
      </c>
      <c r="H381" s="4">
        <v>3874</v>
      </c>
      <c r="I381" s="4">
        <v>4000</v>
      </c>
      <c r="J381" s="3" t="s">
        <v>22</v>
      </c>
      <c r="K381" s="3" t="s">
        <v>30</v>
      </c>
      <c r="L381">
        <f t="shared" si="33"/>
        <v>2026</v>
      </c>
      <c r="M381">
        <f t="shared" si="30"/>
        <v>2</v>
      </c>
      <c r="N381" t="str">
        <f t="shared" si="31"/>
        <v>Feb</v>
      </c>
      <c r="O381" t="str">
        <f t="shared" si="32"/>
        <v>2026-02</v>
      </c>
      <c r="P381" t="str">
        <f t="shared" si="34"/>
        <v>2026-W08</v>
      </c>
      <c r="Q381" t="str">
        <f t="shared" si="35"/>
        <v>Sat</v>
      </c>
    </row>
    <row r="382" spans="1:17" x14ac:dyDescent="0.3">
      <c r="A382" s="2">
        <v>46075</v>
      </c>
      <c r="B382" s="3" t="s">
        <v>428</v>
      </c>
      <c r="C382" s="3" t="s">
        <v>43</v>
      </c>
      <c r="D382" s="3" t="s">
        <v>26</v>
      </c>
      <c r="E382" s="3" t="s">
        <v>29</v>
      </c>
      <c r="F382" s="3" t="s">
        <v>21</v>
      </c>
      <c r="G382" s="3">
        <v>36</v>
      </c>
      <c r="H382" s="4">
        <v>1483</v>
      </c>
      <c r="I382" s="4">
        <v>1700</v>
      </c>
      <c r="J382" s="3" t="s">
        <v>22</v>
      </c>
      <c r="K382" s="3" t="s">
        <v>17</v>
      </c>
      <c r="L382">
        <f t="shared" si="33"/>
        <v>2026</v>
      </c>
      <c r="M382">
        <f t="shared" si="30"/>
        <v>2</v>
      </c>
      <c r="N382" t="str">
        <f t="shared" si="31"/>
        <v>Feb</v>
      </c>
      <c r="O382" t="str">
        <f t="shared" si="32"/>
        <v>2026-02</v>
      </c>
      <c r="P382" t="str">
        <f t="shared" si="34"/>
        <v>2026-W08</v>
      </c>
      <c r="Q382" t="str">
        <f t="shared" si="35"/>
        <v>Sun</v>
      </c>
    </row>
    <row r="383" spans="1:17" x14ac:dyDescent="0.3">
      <c r="A383" s="2">
        <v>46075</v>
      </c>
      <c r="B383" s="3" t="s">
        <v>429</v>
      </c>
      <c r="C383" s="3" t="s">
        <v>91</v>
      </c>
      <c r="D383" s="3" t="s">
        <v>47</v>
      </c>
      <c r="E383" s="3" t="s">
        <v>41</v>
      </c>
      <c r="F383" s="3" t="s">
        <v>21</v>
      </c>
      <c r="G383" s="3">
        <v>47</v>
      </c>
      <c r="H383" s="4">
        <v>1619</v>
      </c>
      <c r="I383" s="4">
        <v>2000</v>
      </c>
      <c r="J383" s="3" t="s">
        <v>22</v>
      </c>
      <c r="K383" s="3" t="s">
        <v>30</v>
      </c>
      <c r="L383">
        <f t="shared" si="33"/>
        <v>2026</v>
      </c>
      <c r="M383">
        <f t="shared" si="30"/>
        <v>2</v>
      </c>
      <c r="N383" t="str">
        <f t="shared" si="31"/>
        <v>Feb</v>
      </c>
      <c r="O383" t="str">
        <f t="shared" si="32"/>
        <v>2026-02</v>
      </c>
      <c r="P383" t="str">
        <f t="shared" si="34"/>
        <v>2026-W08</v>
      </c>
      <c r="Q383" t="str">
        <f t="shared" si="35"/>
        <v>Sun</v>
      </c>
    </row>
    <row r="384" spans="1:17" x14ac:dyDescent="0.3">
      <c r="A384" s="2">
        <v>46075</v>
      </c>
      <c r="B384" s="3" t="s">
        <v>430</v>
      </c>
      <c r="C384" s="3" t="s">
        <v>38</v>
      </c>
      <c r="D384" s="3" t="s">
        <v>19</v>
      </c>
      <c r="E384" s="3" t="s">
        <v>14</v>
      </c>
      <c r="F384" s="3" t="s">
        <v>15</v>
      </c>
      <c r="G384" s="3">
        <v>41</v>
      </c>
      <c r="H384" s="4">
        <v>1864</v>
      </c>
      <c r="I384" s="4">
        <v>2000</v>
      </c>
      <c r="J384" s="3" t="s">
        <v>22</v>
      </c>
      <c r="K384" s="3" t="s">
        <v>30</v>
      </c>
      <c r="L384">
        <f t="shared" si="33"/>
        <v>2026</v>
      </c>
      <c r="M384">
        <f t="shared" si="30"/>
        <v>2</v>
      </c>
      <c r="N384" t="str">
        <f t="shared" si="31"/>
        <v>Feb</v>
      </c>
      <c r="O384" t="str">
        <f t="shared" si="32"/>
        <v>2026-02</v>
      </c>
      <c r="P384" t="str">
        <f t="shared" si="34"/>
        <v>2026-W08</v>
      </c>
      <c r="Q384" t="str">
        <f t="shared" si="35"/>
        <v>Sun</v>
      </c>
    </row>
    <row r="385" spans="1:17" x14ac:dyDescent="0.3">
      <c r="A385" s="2">
        <v>46076</v>
      </c>
      <c r="B385" s="3" t="s">
        <v>431</v>
      </c>
      <c r="C385" s="3" t="s">
        <v>12</v>
      </c>
      <c r="D385" s="3" t="s">
        <v>65</v>
      </c>
      <c r="E385" s="3" t="s">
        <v>41</v>
      </c>
      <c r="F385" s="3" t="s">
        <v>21</v>
      </c>
      <c r="G385" s="3">
        <v>79</v>
      </c>
      <c r="H385" s="4">
        <v>2726</v>
      </c>
      <c r="I385" s="4">
        <v>2700</v>
      </c>
      <c r="J385" s="3" t="s">
        <v>39</v>
      </c>
      <c r="K385" s="3" t="s">
        <v>17</v>
      </c>
      <c r="L385">
        <f t="shared" si="33"/>
        <v>2026</v>
      </c>
      <c r="M385">
        <f t="shared" si="30"/>
        <v>2</v>
      </c>
      <c r="N385" t="str">
        <f t="shared" si="31"/>
        <v>Feb</v>
      </c>
      <c r="O385" t="str">
        <f t="shared" si="32"/>
        <v>2026-02</v>
      </c>
      <c r="P385" t="str">
        <f t="shared" si="34"/>
        <v>2026-W09</v>
      </c>
      <c r="Q385" t="str">
        <f t="shared" si="35"/>
        <v>Mon</v>
      </c>
    </row>
    <row r="386" spans="1:17" x14ac:dyDescent="0.3">
      <c r="A386" s="2">
        <v>46077</v>
      </c>
      <c r="B386" s="3" t="s">
        <v>432</v>
      </c>
      <c r="C386" s="3" t="s">
        <v>43</v>
      </c>
      <c r="D386" s="3" t="s">
        <v>47</v>
      </c>
      <c r="E386" s="3" t="s">
        <v>14</v>
      </c>
      <c r="F386" s="3" t="s">
        <v>15</v>
      </c>
      <c r="G386" s="3">
        <v>77</v>
      </c>
      <c r="H386" s="4">
        <v>3918</v>
      </c>
      <c r="I386" s="4">
        <v>3500</v>
      </c>
      <c r="J386" s="3" t="s">
        <v>22</v>
      </c>
      <c r="K386" s="3" t="s">
        <v>30</v>
      </c>
      <c r="L386">
        <f t="shared" si="33"/>
        <v>2026</v>
      </c>
      <c r="M386">
        <f t="shared" ref="M386:M449" si="36">MONTH($A386)</f>
        <v>2</v>
      </c>
      <c r="N386" t="str">
        <f t="shared" ref="N386:N449" si="37">TEXT($A386,"mmm")</f>
        <v>Feb</v>
      </c>
      <c r="O386" t="str">
        <f t="shared" ref="O386:O449" si="38">YEAR($A386)&amp;"-"&amp;TEXT(MONTH($A386),"00")</f>
        <v>2026-02</v>
      </c>
      <c r="P386" t="str">
        <f t="shared" si="34"/>
        <v>2026-W09</v>
      </c>
      <c r="Q386" t="str">
        <f t="shared" si="35"/>
        <v>Tue</v>
      </c>
    </row>
    <row r="387" spans="1:17" x14ac:dyDescent="0.3">
      <c r="A387" s="2">
        <v>46077</v>
      </c>
      <c r="B387" s="3" t="s">
        <v>433</v>
      </c>
      <c r="C387" s="3" t="s">
        <v>38</v>
      </c>
      <c r="D387" s="3" t="s">
        <v>26</v>
      </c>
      <c r="E387" s="3" t="s">
        <v>14</v>
      </c>
      <c r="F387" s="3" t="s">
        <v>15</v>
      </c>
      <c r="G387" s="3">
        <v>48</v>
      </c>
      <c r="H387" s="4">
        <v>2303</v>
      </c>
      <c r="I387" s="4">
        <v>2200</v>
      </c>
      <c r="J387" s="3" t="s">
        <v>22</v>
      </c>
      <c r="K387" s="3" t="s">
        <v>36</v>
      </c>
      <c r="L387">
        <f t="shared" ref="L387:L450" si="39">YEAR($A387)</f>
        <v>2026</v>
      </c>
      <c r="M387">
        <f t="shared" si="36"/>
        <v>2</v>
      </c>
      <c r="N387" t="str">
        <f t="shared" si="37"/>
        <v>Feb</v>
      </c>
      <c r="O387" t="str">
        <f t="shared" si="38"/>
        <v>2026-02</v>
      </c>
      <c r="P387" t="str">
        <f t="shared" ref="P387:P450" si="40">YEAR($A387)&amp;"-W"&amp;TEXT(WEEKNUM($A387,2),"00")</f>
        <v>2026-W09</v>
      </c>
      <c r="Q387" t="str">
        <f t="shared" ref="Q387:Q450" si="41">CHOOSE(WEEKDAY($A387,2),"Mon","Tue","Wed","Thu","Fri","Sat","Sun")</f>
        <v>Tue</v>
      </c>
    </row>
    <row r="388" spans="1:17" x14ac:dyDescent="0.3">
      <c r="A388" s="2">
        <v>46078</v>
      </c>
      <c r="B388" s="3" t="s">
        <v>434</v>
      </c>
      <c r="C388" s="3" t="s">
        <v>12</v>
      </c>
      <c r="D388" s="3" t="s">
        <v>19</v>
      </c>
      <c r="E388" s="3" t="s">
        <v>27</v>
      </c>
      <c r="F388" s="3" t="s">
        <v>15</v>
      </c>
      <c r="G388" s="3">
        <v>35</v>
      </c>
      <c r="H388" s="4">
        <v>2130</v>
      </c>
      <c r="I388" s="4">
        <v>2600</v>
      </c>
      <c r="J388" s="3" t="s">
        <v>39</v>
      </c>
      <c r="K388" s="3" t="s">
        <v>30</v>
      </c>
      <c r="L388">
        <f t="shared" si="39"/>
        <v>2026</v>
      </c>
      <c r="M388">
        <f t="shared" si="36"/>
        <v>2</v>
      </c>
      <c r="N388" t="str">
        <f t="shared" si="37"/>
        <v>Feb</v>
      </c>
      <c r="O388" t="str">
        <f t="shared" si="38"/>
        <v>2026-02</v>
      </c>
      <c r="P388" t="str">
        <f t="shared" si="40"/>
        <v>2026-W09</v>
      </c>
      <c r="Q388" t="str">
        <f t="shared" si="41"/>
        <v>Wed</v>
      </c>
    </row>
    <row r="389" spans="1:17" x14ac:dyDescent="0.3">
      <c r="A389" s="2">
        <v>46079</v>
      </c>
      <c r="B389" s="3" t="s">
        <v>435</v>
      </c>
      <c r="C389" s="3" t="s">
        <v>43</v>
      </c>
      <c r="D389" s="3" t="s">
        <v>26</v>
      </c>
      <c r="E389" s="3" t="s">
        <v>123</v>
      </c>
      <c r="F389" s="3" t="s">
        <v>59</v>
      </c>
      <c r="G389" s="3">
        <v>69</v>
      </c>
      <c r="H389" s="4">
        <v>6228</v>
      </c>
      <c r="I389" s="4">
        <v>5400</v>
      </c>
      <c r="J389" s="3" t="s">
        <v>22</v>
      </c>
      <c r="K389" s="3" t="s">
        <v>17</v>
      </c>
      <c r="L389">
        <f t="shared" si="39"/>
        <v>2026</v>
      </c>
      <c r="M389">
        <f t="shared" si="36"/>
        <v>2</v>
      </c>
      <c r="N389" t="str">
        <f t="shared" si="37"/>
        <v>Feb</v>
      </c>
      <c r="O389" t="str">
        <f t="shared" si="38"/>
        <v>2026-02</v>
      </c>
      <c r="P389" t="str">
        <f t="shared" si="40"/>
        <v>2026-W09</v>
      </c>
      <c r="Q389" t="str">
        <f t="shared" si="41"/>
        <v>Thu</v>
      </c>
    </row>
    <row r="390" spans="1:17" x14ac:dyDescent="0.3">
      <c r="A390" s="2">
        <v>46079</v>
      </c>
      <c r="B390" s="3" t="s">
        <v>436</v>
      </c>
      <c r="C390" s="3" t="s">
        <v>50</v>
      </c>
      <c r="D390" s="3" t="s">
        <v>53</v>
      </c>
      <c r="E390" s="3" t="s">
        <v>58</v>
      </c>
      <c r="F390" s="3" t="s">
        <v>59</v>
      </c>
      <c r="G390" s="3">
        <v>81</v>
      </c>
      <c r="H390" s="4">
        <v>9312</v>
      </c>
      <c r="I390" s="4">
        <v>11500</v>
      </c>
      <c r="J390" s="3" t="s">
        <v>22</v>
      </c>
      <c r="K390" s="3" t="s">
        <v>17</v>
      </c>
      <c r="L390">
        <f t="shared" si="39"/>
        <v>2026</v>
      </c>
      <c r="M390">
        <f t="shared" si="36"/>
        <v>2</v>
      </c>
      <c r="N390" t="str">
        <f t="shared" si="37"/>
        <v>Feb</v>
      </c>
      <c r="O390" t="str">
        <f t="shared" si="38"/>
        <v>2026-02</v>
      </c>
      <c r="P390" t="str">
        <f t="shared" si="40"/>
        <v>2026-W09</v>
      </c>
      <c r="Q390" t="str">
        <f t="shared" si="41"/>
        <v>Thu</v>
      </c>
    </row>
    <row r="391" spans="1:17" x14ac:dyDescent="0.3">
      <c r="A391" s="2">
        <v>46079</v>
      </c>
      <c r="B391" s="3" t="s">
        <v>437</v>
      </c>
      <c r="C391" s="3" t="s">
        <v>57</v>
      </c>
      <c r="D391" s="3" t="s">
        <v>19</v>
      </c>
      <c r="E391" s="3" t="s">
        <v>27</v>
      </c>
      <c r="F391" s="3" t="s">
        <v>15</v>
      </c>
      <c r="G391" s="3">
        <v>58</v>
      </c>
      <c r="H391" s="4">
        <v>3045</v>
      </c>
      <c r="I391" s="4">
        <v>2500</v>
      </c>
      <c r="J391" s="3" t="s">
        <v>22</v>
      </c>
      <c r="K391" s="3" t="s">
        <v>17</v>
      </c>
      <c r="L391">
        <f t="shared" si="39"/>
        <v>2026</v>
      </c>
      <c r="M391">
        <f t="shared" si="36"/>
        <v>2</v>
      </c>
      <c r="N391" t="str">
        <f t="shared" si="37"/>
        <v>Feb</v>
      </c>
      <c r="O391" t="str">
        <f t="shared" si="38"/>
        <v>2026-02</v>
      </c>
      <c r="P391" t="str">
        <f t="shared" si="40"/>
        <v>2026-W09</v>
      </c>
      <c r="Q391" t="str">
        <f t="shared" si="41"/>
        <v>Thu</v>
      </c>
    </row>
    <row r="392" spans="1:17" x14ac:dyDescent="0.3">
      <c r="A392" s="2">
        <v>46080</v>
      </c>
      <c r="B392" s="3" t="s">
        <v>438</v>
      </c>
      <c r="C392" s="3" t="s">
        <v>50</v>
      </c>
      <c r="D392" s="3" t="s">
        <v>19</v>
      </c>
      <c r="E392" s="3" t="s">
        <v>61</v>
      </c>
      <c r="F392" s="3" t="s">
        <v>59</v>
      </c>
      <c r="G392" s="3">
        <v>32</v>
      </c>
      <c r="H392" s="4">
        <v>3597</v>
      </c>
      <c r="I392" s="4">
        <v>3200</v>
      </c>
      <c r="J392" s="3" t="s">
        <v>22</v>
      </c>
      <c r="K392" s="3" t="s">
        <v>17</v>
      </c>
      <c r="L392">
        <f t="shared" si="39"/>
        <v>2026</v>
      </c>
      <c r="M392">
        <f t="shared" si="36"/>
        <v>2</v>
      </c>
      <c r="N392" t="str">
        <f t="shared" si="37"/>
        <v>Feb</v>
      </c>
      <c r="O392" t="str">
        <f t="shared" si="38"/>
        <v>2026-02</v>
      </c>
      <c r="P392" t="str">
        <f t="shared" si="40"/>
        <v>2026-W09</v>
      </c>
      <c r="Q392" t="str">
        <f t="shared" si="41"/>
        <v>Fri</v>
      </c>
    </row>
    <row r="393" spans="1:17" x14ac:dyDescent="0.3">
      <c r="A393" s="2">
        <v>46080</v>
      </c>
      <c r="B393" s="3" t="s">
        <v>439</v>
      </c>
      <c r="C393" s="3" t="s">
        <v>50</v>
      </c>
      <c r="D393" s="3" t="s">
        <v>65</v>
      </c>
      <c r="E393" s="3" t="s">
        <v>33</v>
      </c>
      <c r="F393" s="3" t="s">
        <v>34</v>
      </c>
      <c r="G393" s="3">
        <v>103</v>
      </c>
      <c r="H393" s="4">
        <v>7000</v>
      </c>
      <c r="I393" s="4">
        <v>8300</v>
      </c>
      <c r="J393" s="3" t="s">
        <v>22</v>
      </c>
      <c r="K393" s="3" t="s">
        <v>17</v>
      </c>
      <c r="L393">
        <f t="shared" si="39"/>
        <v>2026</v>
      </c>
      <c r="M393">
        <f t="shared" si="36"/>
        <v>2</v>
      </c>
      <c r="N393" t="str">
        <f t="shared" si="37"/>
        <v>Feb</v>
      </c>
      <c r="O393" t="str">
        <f t="shared" si="38"/>
        <v>2026-02</v>
      </c>
      <c r="P393" t="str">
        <f t="shared" si="40"/>
        <v>2026-W09</v>
      </c>
      <c r="Q393" t="str">
        <f t="shared" si="41"/>
        <v>Fri</v>
      </c>
    </row>
    <row r="394" spans="1:17" x14ac:dyDescent="0.3">
      <c r="A394" s="2">
        <v>46080</v>
      </c>
      <c r="B394" s="3" t="s">
        <v>440</v>
      </c>
      <c r="C394" s="3" t="s">
        <v>43</v>
      </c>
      <c r="D394" s="3" t="s">
        <v>47</v>
      </c>
      <c r="E394" s="3" t="s">
        <v>33</v>
      </c>
      <c r="F394" s="3" t="s">
        <v>34</v>
      </c>
      <c r="G394" s="3">
        <v>50</v>
      </c>
      <c r="H394" s="4">
        <v>3221</v>
      </c>
      <c r="I394" s="4">
        <v>3700</v>
      </c>
      <c r="J394" s="3" t="s">
        <v>22</v>
      </c>
      <c r="K394" s="3" t="s">
        <v>17</v>
      </c>
      <c r="L394">
        <f t="shared" si="39"/>
        <v>2026</v>
      </c>
      <c r="M394">
        <f t="shared" si="36"/>
        <v>2</v>
      </c>
      <c r="N394" t="str">
        <f t="shared" si="37"/>
        <v>Feb</v>
      </c>
      <c r="O394" t="str">
        <f t="shared" si="38"/>
        <v>2026-02</v>
      </c>
      <c r="P394" t="str">
        <f t="shared" si="40"/>
        <v>2026-W09</v>
      </c>
      <c r="Q394" t="str">
        <f t="shared" si="41"/>
        <v>Fri</v>
      </c>
    </row>
    <row r="395" spans="1:17" x14ac:dyDescent="0.3">
      <c r="A395" s="2">
        <v>46080</v>
      </c>
      <c r="B395" s="3" t="s">
        <v>441</v>
      </c>
      <c r="C395" s="3" t="s">
        <v>12</v>
      </c>
      <c r="D395" s="3" t="s">
        <v>53</v>
      </c>
      <c r="E395" s="3" t="s">
        <v>44</v>
      </c>
      <c r="F395" s="3" t="s">
        <v>34</v>
      </c>
      <c r="G395" s="3">
        <v>117</v>
      </c>
      <c r="H395" s="4">
        <v>7543</v>
      </c>
      <c r="I395" s="4">
        <v>8900</v>
      </c>
      <c r="J395" s="3" t="s">
        <v>39</v>
      </c>
      <c r="K395" s="3" t="s">
        <v>36</v>
      </c>
      <c r="L395">
        <f t="shared" si="39"/>
        <v>2026</v>
      </c>
      <c r="M395">
        <f t="shared" si="36"/>
        <v>2</v>
      </c>
      <c r="N395" t="str">
        <f t="shared" si="37"/>
        <v>Feb</v>
      </c>
      <c r="O395" t="str">
        <f t="shared" si="38"/>
        <v>2026-02</v>
      </c>
      <c r="P395" t="str">
        <f t="shared" si="40"/>
        <v>2026-W09</v>
      </c>
      <c r="Q395" t="str">
        <f t="shared" si="41"/>
        <v>Fri</v>
      </c>
    </row>
    <row r="396" spans="1:17" x14ac:dyDescent="0.3">
      <c r="A396" s="2">
        <v>46080</v>
      </c>
      <c r="B396" s="3" t="s">
        <v>442</v>
      </c>
      <c r="C396" s="3" t="s">
        <v>12</v>
      </c>
      <c r="D396" s="3" t="s">
        <v>19</v>
      </c>
      <c r="E396" s="3" t="s">
        <v>68</v>
      </c>
      <c r="F396" s="3" t="s">
        <v>34</v>
      </c>
      <c r="G396" s="3">
        <v>58</v>
      </c>
      <c r="H396" s="4">
        <v>3858</v>
      </c>
      <c r="I396" s="4">
        <v>3600</v>
      </c>
      <c r="J396" s="3" t="s">
        <v>22</v>
      </c>
      <c r="K396" s="3" t="s">
        <v>30</v>
      </c>
      <c r="L396">
        <f t="shared" si="39"/>
        <v>2026</v>
      </c>
      <c r="M396">
        <f t="shared" si="36"/>
        <v>2</v>
      </c>
      <c r="N396" t="str">
        <f t="shared" si="37"/>
        <v>Feb</v>
      </c>
      <c r="O396" t="str">
        <f t="shared" si="38"/>
        <v>2026-02</v>
      </c>
      <c r="P396" t="str">
        <f t="shared" si="40"/>
        <v>2026-W09</v>
      </c>
      <c r="Q396" t="str">
        <f t="shared" si="41"/>
        <v>Fri</v>
      </c>
    </row>
    <row r="397" spans="1:17" x14ac:dyDescent="0.3">
      <c r="A397" s="2">
        <v>46081</v>
      </c>
      <c r="B397" s="3" t="s">
        <v>443</v>
      </c>
      <c r="C397" s="3" t="s">
        <v>91</v>
      </c>
      <c r="D397" s="3" t="s">
        <v>13</v>
      </c>
      <c r="E397" s="3" t="s">
        <v>14</v>
      </c>
      <c r="F397" s="3" t="s">
        <v>15</v>
      </c>
      <c r="G397" s="3">
        <v>99</v>
      </c>
      <c r="H397" s="4">
        <v>5617</v>
      </c>
      <c r="I397" s="4">
        <v>5500</v>
      </c>
      <c r="J397" s="3" t="s">
        <v>22</v>
      </c>
      <c r="K397" s="3" t="s">
        <v>17</v>
      </c>
      <c r="L397">
        <f t="shared" si="39"/>
        <v>2026</v>
      </c>
      <c r="M397">
        <f t="shared" si="36"/>
        <v>2</v>
      </c>
      <c r="N397" t="str">
        <f t="shared" si="37"/>
        <v>Feb</v>
      </c>
      <c r="O397" t="str">
        <f t="shared" si="38"/>
        <v>2026-02</v>
      </c>
      <c r="P397" t="str">
        <f t="shared" si="40"/>
        <v>2026-W09</v>
      </c>
      <c r="Q397" t="str">
        <f t="shared" si="41"/>
        <v>Sat</v>
      </c>
    </row>
    <row r="398" spans="1:17" x14ac:dyDescent="0.3">
      <c r="A398" s="2">
        <v>46081</v>
      </c>
      <c r="B398" s="3" t="s">
        <v>444</v>
      </c>
      <c r="C398" s="3" t="s">
        <v>25</v>
      </c>
      <c r="D398" s="3" t="s">
        <v>26</v>
      </c>
      <c r="E398" s="3" t="s">
        <v>33</v>
      </c>
      <c r="F398" s="3" t="s">
        <v>34</v>
      </c>
      <c r="G398" s="3">
        <v>52</v>
      </c>
      <c r="H398" s="4">
        <v>2733</v>
      </c>
      <c r="I398" s="4">
        <v>3300</v>
      </c>
      <c r="J398" s="3" t="s">
        <v>22</v>
      </c>
      <c r="K398" s="3" t="s">
        <v>30</v>
      </c>
      <c r="L398">
        <f t="shared" si="39"/>
        <v>2026</v>
      </c>
      <c r="M398">
        <f t="shared" si="36"/>
        <v>2</v>
      </c>
      <c r="N398" t="str">
        <f t="shared" si="37"/>
        <v>Feb</v>
      </c>
      <c r="O398" t="str">
        <f t="shared" si="38"/>
        <v>2026-02</v>
      </c>
      <c r="P398" t="str">
        <f t="shared" si="40"/>
        <v>2026-W09</v>
      </c>
      <c r="Q398" t="str">
        <f t="shared" si="41"/>
        <v>Sat</v>
      </c>
    </row>
    <row r="399" spans="1:17" x14ac:dyDescent="0.3">
      <c r="A399" s="2">
        <v>46081</v>
      </c>
      <c r="B399" s="3" t="s">
        <v>445</v>
      </c>
      <c r="C399" s="3" t="s">
        <v>43</v>
      </c>
      <c r="D399" s="3" t="s">
        <v>19</v>
      </c>
      <c r="E399" s="3" t="s">
        <v>33</v>
      </c>
      <c r="F399" s="3" t="s">
        <v>34</v>
      </c>
      <c r="G399" s="3">
        <v>46</v>
      </c>
      <c r="H399" s="4">
        <v>3351</v>
      </c>
      <c r="I399" s="4">
        <v>3300</v>
      </c>
      <c r="J399" s="3" t="s">
        <v>22</v>
      </c>
      <c r="K399" s="3" t="s">
        <v>30</v>
      </c>
      <c r="L399">
        <f t="shared" si="39"/>
        <v>2026</v>
      </c>
      <c r="M399">
        <f t="shared" si="36"/>
        <v>2</v>
      </c>
      <c r="N399" t="str">
        <f t="shared" si="37"/>
        <v>Feb</v>
      </c>
      <c r="O399" t="str">
        <f t="shared" si="38"/>
        <v>2026-02</v>
      </c>
      <c r="P399" t="str">
        <f t="shared" si="40"/>
        <v>2026-W09</v>
      </c>
      <c r="Q399" t="str">
        <f t="shared" si="41"/>
        <v>Sat</v>
      </c>
    </row>
    <row r="400" spans="1:17" x14ac:dyDescent="0.3">
      <c r="A400" s="2">
        <v>46082</v>
      </c>
      <c r="B400" s="3" t="s">
        <v>446</v>
      </c>
      <c r="C400" s="3" t="s">
        <v>43</v>
      </c>
      <c r="D400" s="3" t="s">
        <v>53</v>
      </c>
      <c r="E400" s="3" t="s">
        <v>58</v>
      </c>
      <c r="F400" s="3" t="s">
        <v>59</v>
      </c>
      <c r="G400" s="3">
        <v>92</v>
      </c>
      <c r="H400" s="4">
        <v>9457</v>
      </c>
      <c r="I400" s="4">
        <v>10100</v>
      </c>
      <c r="J400" s="3" t="s">
        <v>22</v>
      </c>
      <c r="K400" s="3" t="s">
        <v>30</v>
      </c>
      <c r="L400">
        <f t="shared" si="39"/>
        <v>2026</v>
      </c>
      <c r="M400">
        <f t="shared" si="36"/>
        <v>3</v>
      </c>
      <c r="N400" t="str">
        <f t="shared" si="37"/>
        <v>Mar</v>
      </c>
      <c r="O400" t="str">
        <f t="shared" si="38"/>
        <v>2026-03</v>
      </c>
      <c r="P400" t="str">
        <f t="shared" si="40"/>
        <v>2026-W09</v>
      </c>
      <c r="Q400" t="str">
        <f t="shared" si="41"/>
        <v>Sun</v>
      </c>
    </row>
    <row r="401" spans="1:17" x14ac:dyDescent="0.3">
      <c r="A401" s="2">
        <v>46083</v>
      </c>
      <c r="B401" s="3" t="s">
        <v>447</v>
      </c>
      <c r="C401" s="3" t="s">
        <v>38</v>
      </c>
      <c r="D401" s="3" t="s">
        <v>53</v>
      </c>
      <c r="E401" s="3" t="s">
        <v>14</v>
      </c>
      <c r="F401" s="3" t="s">
        <v>15</v>
      </c>
      <c r="G401" s="3">
        <v>117</v>
      </c>
      <c r="H401" s="4">
        <v>6334</v>
      </c>
      <c r="I401" s="4">
        <v>7100</v>
      </c>
      <c r="J401" s="3" t="s">
        <v>22</v>
      </c>
      <c r="K401" s="3" t="s">
        <v>36</v>
      </c>
      <c r="L401">
        <f t="shared" si="39"/>
        <v>2026</v>
      </c>
      <c r="M401">
        <f t="shared" si="36"/>
        <v>3</v>
      </c>
      <c r="N401" t="str">
        <f t="shared" si="37"/>
        <v>Mar</v>
      </c>
      <c r="O401" t="str">
        <f t="shared" si="38"/>
        <v>2026-03</v>
      </c>
      <c r="P401" t="str">
        <f t="shared" si="40"/>
        <v>2026-W10</v>
      </c>
      <c r="Q401" t="str">
        <f t="shared" si="41"/>
        <v>Mon</v>
      </c>
    </row>
    <row r="402" spans="1:17" x14ac:dyDescent="0.3">
      <c r="A402" s="2">
        <v>46085</v>
      </c>
      <c r="B402" s="3" t="s">
        <v>448</v>
      </c>
      <c r="C402" s="3" t="s">
        <v>32</v>
      </c>
      <c r="D402" s="3" t="s">
        <v>19</v>
      </c>
      <c r="E402" s="3" t="s">
        <v>29</v>
      </c>
      <c r="F402" s="3" t="s">
        <v>21</v>
      </c>
      <c r="G402" s="3">
        <v>53</v>
      </c>
      <c r="H402" s="4">
        <v>2069</v>
      </c>
      <c r="I402" s="4">
        <v>2300</v>
      </c>
      <c r="J402" s="3" t="s">
        <v>22</v>
      </c>
      <c r="K402" s="3" t="s">
        <v>23</v>
      </c>
      <c r="L402">
        <f t="shared" si="39"/>
        <v>2026</v>
      </c>
      <c r="M402">
        <f t="shared" si="36"/>
        <v>3</v>
      </c>
      <c r="N402" t="str">
        <f t="shared" si="37"/>
        <v>Mar</v>
      </c>
      <c r="O402" t="str">
        <f t="shared" si="38"/>
        <v>2026-03</v>
      </c>
      <c r="P402" t="str">
        <f t="shared" si="40"/>
        <v>2026-W10</v>
      </c>
      <c r="Q402" t="str">
        <f t="shared" si="41"/>
        <v>Wed</v>
      </c>
    </row>
    <row r="403" spans="1:17" x14ac:dyDescent="0.3">
      <c r="A403" s="2">
        <v>46085</v>
      </c>
      <c r="B403" s="3" t="s">
        <v>449</v>
      </c>
      <c r="C403" s="3" t="s">
        <v>57</v>
      </c>
      <c r="D403" s="3" t="s">
        <v>26</v>
      </c>
      <c r="E403" s="3" t="s">
        <v>48</v>
      </c>
      <c r="F403" s="3" t="s">
        <v>15</v>
      </c>
      <c r="G403" s="3">
        <v>87</v>
      </c>
      <c r="H403" s="4">
        <v>4152</v>
      </c>
      <c r="I403" s="4">
        <v>4400</v>
      </c>
      <c r="J403" s="3" t="s">
        <v>22</v>
      </c>
      <c r="K403" s="3" t="s">
        <v>17</v>
      </c>
      <c r="L403">
        <f t="shared" si="39"/>
        <v>2026</v>
      </c>
      <c r="M403">
        <f t="shared" si="36"/>
        <v>3</v>
      </c>
      <c r="N403" t="str">
        <f t="shared" si="37"/>
        <v>Mar</v>
      </c>
      <c r="O403" t="str">
        <f t="shared" si="38"/>
        <v>2026-03</v>
      </c>
      <c r="P403" t="str">
        <f t="shared" si="40"/>
        <v>2026-W10</v>
      </c>
      <c r="Q403" t="str">
        <f t="shared" si="41"/>
        <v>Wed</v>
      </c>
    </row>
    <row r="404" spans="1:17" x14ac:dyDescent="0.3">
      <c r="A404" s="2">
        <v>46086</v>
      </c>
      <c r="B404" s="3" t="s">
        <v>450</v>
      </c>
      <c r="C404" s="3" t="s">
        <v>32</v>
      </c>
      <c r="D404" s="3" t="s">
        <v>26</v>
      </c>
      <c r="E404" s="3" t="s">
        <v>29</v>
      </c>
      <c r="F404" s="3" t="s">
        <v>21</v>
      </c>
      <c r="G404" s="3">
        <v>47</v>
      </c>
      <c r="H404" s="4">
        <v>2055</v>
      </c>
      <c r="I404" s="4">
        <v>2400</v>
      </c>
      <c r="J404" s="3" t="s">
        <v>22</v>
      </c>
      <c r="K404" s="3" t="s">
        <v>36</v>
      </c>
      <c r="L404">
        <f t="shared" si="39"/>
        <v>2026</v>
      </c>
      <c r="M404">
        <f t="shared" si="36"/>
        <v>3</v>
      </c>
      <c r="N404" t="str">
        <f t="shared" si="37"/>
        <v>Mar</v>
      </c>
      <c r="O404" t="str">
        <f t="shared" si="38"/>
        <v>2026-03</v>
      </c>
      <c r="P404" t="str">
        <f t="shared" si="40"/>
        <v>2026-W10</v>
      </c>
      <c r="Q404" t="str">
        <f t="shared" si="41"/>
        <v>Thu</v>
      </c>
    </row>
    <row r="405" spans="1:17" x14ac:dyDescent="0.3">
      <c r="A405" s="2">
        <v>46086</v>
      </c>
      <c r="B405" s="3" t="s">
        <v>451</v>
      </c>
      <c r="C405" s="3" t="s">
        <v>25</v>
      </c>
      <c r="D405" s="3" t="s">
        <v>19</v>
      </c>
      <c r="E405" s="3" t="s">
        <v>20</v>
      </c>
      <c r="F405" s="3" t="s">
        <v>21</v>
      </c>
      <c r="G405" s="3">
        <v>102</v>
      </c>
      <c r="H405" s="4">
        <v>3603</v>
      </c>
      <c r="I405" s="4">
        <v>4400</v>
      </c>
      <c r="J405" s="3" t="s">
        <v>22</v>
      </c>
      <c r="K405" s="3" t="s">
        <v>23</v>
      </c>
      <c r="L405">
        <f t="shared" si="39"/>
        <v>2026</v>
      </c>
      <c r="M405">
        <f t="shared" si="36"/>
        <v>3</v>
      </c>
      <c r="N405" t="str">
        <f t="shared" si="37"/>
        <v>Mar</v>
      </c>
      <c r="O405" t="str">
        <f t="shared" si="38"/>
        <v>2026-03</v>
      </c>
      <c r="P405" t="str">
        <f t="shared" si="40"/>
        <v>2026-W10</v>
      </c>
      <c r="Q405" t="str">
        <f t="shared" si="41"/>
        <v>Thu</v>
      </c>
    </row>
    <row r="406" spans="1:17" x14ac:dyDescent="0.3">
      <c r="A406" s="2">
        <v>46088</v>
      </c>
      <c r="B406" s="3" t="s">
        <v>452</v>
      </c>
      <c r="C406" s="3" t="s">
        <v>32</v>
      </c>
      <c r="D406" s="3" t="s">
        <v>26</v>
      </c>
      <c r="E406" s="3" t="s">
        <v>44</v>
      </c>
      <c r="F406" s="3" t="s">
        <v>34</v>
      </c>
      <c r="G406" s="3">
        <v>61</v>
      </c>
      <c r="H406" s="4">
        <v>4011</v>
      </c>
      <c r="I406" s="4">
        <v>4600</v>
      </c>
      <c r="J406" s="3" t="s">
        <v>16</v>
      </c>
      <c r="K406" s="3" t="s">
        <v>36</v>
      </c>
      <c r="L406">
        <f t="shared" si="39"/>
        <v>2026</v>
      </c>
      <c r="M406">
        <f t="shared" si="36"/>
        <v>3</v>
      </c>
      <c r="N406" t="str">
        <f t="shared" si="37"/>
        <v>Mar</v>
      </c>
      <c r="O406" t="str">
        <f t="shared" si="38"/>
        <v>2026-03</v>
      </c>
      <c r="P406" t="str">
        <f t="shared" si="40"/>
        <v>2026-W10</v>
      </c>
      <c r="Q406" t="str">
        <f t="shared" si="41"/>
        <v>Sat</v>
      </c>
    </row>
    <row r="407" spans="1:17" x14ac:dyDescent="0.3">
      <c r="A407" s="2">
        <v>46089</v>
      </c>
      <c r="B407" s="3" t="s">
        <v>453</v>
      </c>
      <c r="C407" s="3" t="s">
        <v>12</v>
      </c>
      <c r="D407" s="3" t="s">
        <v>53</v>
      </c>
      <c r="E407" s="3" t="s">
        <v>41</v>
      </c>
      <c r="F407" s="3" t="s">
        <v>21</v>
      </c>
      <c r="G407" s="3">
        <v>20</v>
      </c>
      <c r="H407" s="4">
        <v>749</v>
      </c>
      <c r="I407" s="4">
        <v>900</v>
      </c>
      <c r="J407" s="3" t="s">
        <v>22</v>
      </c>
      <c r="K407" s="3" t="s">
        <v>23</v>
      </c>
      <c r="L407">
        <f t="shared" si="39"/>
        <v>2026</v>
      </c>
      <c r="M407">
        <f t="shared" si="36"/>
        <v>3</v>
      </c>
      <c r="N407" t="str">
        <f t="shared" si="37"/>
        <v>Mar</v>
      </c>
      <c r="O407" t="str">
        <f t="shared" si="38"/>
        <v>2026-03</v>
      </c>
      <c r="P407" t="str">
        <f t="shared" si="40"/>
        <v>2026-W10</v>
      </c>
      <c r="Q407" t="str">
        <f t="shared" si="41"/>
        <v>Sun</v>
      </c>
    </row>
    <row r="408" spans="1:17" x14ac:dyDescent="0.3">
      <c r="A408" s="2">
        <v>46089</v>
      </c>
      <c r="B408" s="3" t="s">
        <v>454</v>
      </c>
      <c r="C408" s="3" t="s">
        <v>43</v>
      </c>
      <c r="D408" s="3" t="s">
        <v>65</v>
      </c>
      <c r="E408" s="3" t="s">
        <v>27</v>
      </c>
      <c r="F408" s="3" t="s">
        <v>15</v>
      </c>
      <c r="G408" s="3">
        <v>71</v>
      </c>
      <c r="H408" s="4">
        <v>4225</v>
      </c>
      <c r="I408" s="4">
        <v>5000</v>
      </c>
      <c r="J408" s="3" t="s">
        <v>22</v>
      </c>
      <c r="K408" s="3" t="s">
        <v>36</v>
      </c>
      <c r="L408">
        <f t="shared" si="39"/>
        <v>2026</v>
      </c>
      <c r="M408">
        <f t="shared" si="36"/>
        <v>3</v>
      </c>
      <c r="N408" t="str">
        <f t="shared" si="37"/>
        <v>Mar</v>
      </c>
      <c r="O408" t="str">
        <f t="shared" si="38"/>
        <v>2026-03</v>
      </c>
      <c r="P408" t="str">
        <f t="shared" si="40"/>
        <v>2026-W10</v>
      </c>
      <c r="Q408" t="str">
        <f t="shared" si="41"/>
        <v>Sun</v>
      </c>
    </row>
    <row r="409" spans="1:17" x14ac:dyDescent="0.3">
      <c r="A409" s="2">
        <v>46090</v>
      </c>
      <c r="B409" s="3" t="s">
        <v>455</v>
      </c>
      <c r="C409" s="3" t="s">
        <v>32</v>
      </c>
      <c r="D409" s="3" t="s">
        <v>26</v>
      </c>
      <c r="E409" s="3" t="s">
        <v>41</v>
      </c>
      <c r="F409" s="3" t="s">
        <v>21</v>
      </c>
      <c r="G409" s="3">
        <v>81</v>
      </c>
      <c r="H409" s="4">
        <v>3255</v>
      </c>
      <c r="I409" s="4">
        <v>3600</v>
      </c>
      <c r="J409" s="3" t="s">
        <v>22</v>
      </c>
      <c r="K409" s="3" t="s">
        <v>36</v>
      </c>
      <c r="L409">
        <f t="shared" si="39"/>
        <v>2026</v>
      </c>
      <c r="M409">
        <f t="shared" si="36"/>
        <v>3</v>
      </c>
      <c r="N409" t="str">
        <f t="shared" si="37"/>
        <v>Mar</v>
      </c>
      <c r="O409" t="str">
        <f t="shared" si="38"/>
        <v>2026-03</v>
      </c>
      <c r="P409" t="str">
        <f t="shared" si="40"/>
        <v>2026-W11</v>
      </c>
      <c r="Q409" t="str">
        <f t="shared" si="41"/>
        <v>Mon</v>
      </c>
    </row>
    <row r="410" spans="1:17" x14ac:dyDescent="0.3">
      <c r="A410" s="2">
        <v>46091</v>
      </c>
      <c r="B410" s="3" t="s">
        <v>456</v>
      </c>
      <c r="C410" s="3" t="s">
        <v>25</v>
      </c>
      <c r="D410" s="3" t="s">
        <v>53</v>
      </c>
      <c r="E410" s="3" t="s">
        <v>44</v>
      </c>
      <c r="F410" s="3" t="s">
        <v>34</v>
      </c>
      <c r="G410" s="3">
        <v>108</v>
      </c>
      <c r="H410" s="4">
        <v>6091</v>
      </c>
      <c r="I410" s="4">
        <v>5700</v>
      </c>
      <c r="J410" s="3" t="s">
        <v>22</v>
      </c>
      <c r="K410" s="3" t="s">
        <v>36</v>
      </c>
      <c r="L410">
        <f t="shared" si="39"/>
        <v>2026</v>
      </c>
      <c r="M410">
        <f t="shared" si="36"/>
        <v>3</v>
      </c>
      <c r="N410" t="str">
        <f t="shared" si="37"/>
        <v>Mar</v>
      </c>
      <c r="O410" t="str">
        <f t="shared" si="38"/>
        <v>2026-03</v>
      </c>
      <c r="P410" t="str">
        <f t="shared" si="40"/>
        <v>2026-W11</v>
      </c>
      <c r="Q410" t="str">
        <f t="shared" si="41"/>
        <v>Tue</v>
      </c>
    </row>
    <row r="411" spans="1:17" x14ac:dyDescent="0.3">
      <c r="A411" s="2">
        <v>46091</v>
      </c>
      <c r="B411" s="3" t="s">
        <v>457</v>
      </c>
      <c r="C411" s="3" t="s">
        <v>38</v>
      </c>
      <c r="D411" s="3" t="s">
        <v>47</v>
      </c>
      <c r="E411" s="3" t="s">
        <v>48</v>
      </c>
      <c r="F411" s="3" t="s">
        <v>15</v>
      </c>
      <c r="G411" s="3">
        <v>26</v>
      </c>
      <c r="H411" s="4">
        <v>1259</v>
      </c>
      <c r="I411" s="4">
        <v>1200</v>
      </c>
      <c r="J411" s="3" t="s">
        <v>16</v>
      </c>
      <c r="K411" s="3" t="s">
        <v>23</v>
      </c>
      <c r="L411">
        <f t="shared" si="39"/>
        <v>2026</v>
      </c>
      <c r="M411">
        <f t="shared" si="36"/>
        <v>3</v>
      </c>
      <c r="N411" t="str">
        <f t="shared" si="37"/>
        <v>Mar</v>
      </c>
      <c r="O411" t="str">
        <f t="shared" si="38"/>
        <v>2026-03</v>
      </c>
      <c r="P411" t="str">
        <f t="shared" si="40"/>
        <v>2026-W11</v>
      </c>
      <c r="Q411" t="str">
        <f t="shared" si="41"/>
        <v>Tue</v>
      </c>
    </row>
    <row r="412" spans="1:17" x14ac:dyDescent="0.3">
      <c r="A412" s="2">
        <v>46091</v>
      </c>
      <c r="B412" s="3" t="s">
        <v>458</v>
      </c>
      <c r="C412" s="3" t="s">
        <v>32</v>
      </c>
      <c r="D412" s="3" t="s">
        <v>26</v>
      </c>
      <c r="E412" s="3" t="s">
        <v>58</v>
      </c>
      <c r="F412" s="3" t="s">
        <v>59</v>
      </c>
      <c r="G412" s="3">
        <v>30</v>
      </c>
      <c r="H412" s="4">
        <v>3392</v>
      </c>
      <c r="I412" s="4">
        <v>4200</v>
      </c>
      <c r="J412" s="3" t="s">
        <v>22</v>
      </c>
      <c r="K412" s="3" t="s">
        <v>23</v>
      </c>
      <c r="L412">
        <f t="shared" si="39"/>
        <v>2026</v>
      </c>
      <c r="M412">
        <f t="shared" si="36"/>
        <v>3</v>
      </c>
      <c r="N412" t="str">
        <f t="shared" si="37"/>
        <v>Mar</v>
      </c>
      <c r="O412" t="str">
        <f t="shared" si="38"/>
        <v>2026-03</v>
      </c>
      <c r="P412" t="str">
        <f t="shared" si="40"/>
        <v>2026-W11</v>
      </c>
      <c r="Q412" t="str">
        <f t="shared" si="41"/>
        <v>Tue</v>
      </c>
    </row>
    <row r="413" spans="1:17" x14ac:dyDescent="0.3">
      <c r="A413" s="2">
        <v>46092</v>
      </c>
      <c r="B413" s="3" t="s">
        <v>459</v>
      </c>
      <c r="C413" s="3" t="s">
        <v>12</v>
      </c>
      <c r="D413" s="3" t="s">
        <v>26</v>
      </c>
      <c r="E413" s="3" t="s">
        <v>61</v>
      </c>
      <c r="F413" s="3" t="s">
        <v>59</v>
      </c>
      <c r="G413" s="3">
        <v>22</v>
      </c>
      <c r="H413" s="4">
        <v>2565</v>
      </c>
      <c r="I413" s="4">
        <v>2700</v>
      </c>
      <c r="J413" s="3" t="s">
        <v>22</v>
      </c>
      <c r="K413" s="3" t="s">
        <v>23</v>
      </c>
      <c r="L413">
        <f t="shared" si="39"/>
        <v>2026</v>
      </c>
      <c r="M413">
        <f t="shared" si="36"/>
        <v>3</v>
      </c>
      <c r="N413" t="str">
        <f t="shared" si="37"/>
        <v>Mar</v>
      </c>
      <c r="O413" t="str">
        <f t="shared" si="38"/>
        <v>2026-03</v>
      </c>
      <c r="P413" t="str">
        <f t="shared" si="40"/>
        <v>2026-W11</v>
      </c>
      <c r="Q413" t="str">
        <f t="shared" si="41"/>
        <v>Wed</v>
      </c>
    </row>
    <row r="414" spans="1:17" x14ac:dyDescent="0.3">
      <c r="A414" s="2">
        <v>46092</v>
      </c>
      <c r="B414" s="3" t="s">
        <v>460</v>
      </c>
      <c r="C414" s="3" t="s">
        <v>50</v>
      </c>
      <c r="D414" s="3" t="s">
        <v>26</v>
      </c>
      <c r="E414" s="3" t="s">
        <v>44</v>
      </c>
      <c r="F414" s="3" t="s">
        <v>34</v>
      </c>
      <c r="G414" s="3">
        <v>8</v>
      </c>
      <c r="H414" s="4">
        <v>441</v>
      </c>
      <c r="I414" s="4">
        <v>400</v>
      </c>
      <c r="J414" s="3" t="s">
        <v>16</v>
      </c>
      <c r="K414" s="3" t="s">
        <v>30</v>
      </c>
      <c r="L414">
        <f t="shared" si="39"/>
        <v>2026</v>
      </c>
      <c r="M414">
        <f t="shared" si="36"/>
        <v>3</v>
      </c>
      <c r="N414" t="str">
        <f t="shared" si="37"/>
        <v>Mar</v>
      </c>
      <c r="O414" t="str">
        <f t="shared" si="38"/>
        <v>2026-03</v>
      </c>
      <c r="P414" t="str">
        <f t="shared" si="40"/>
        <v>2026-W11</v>
      </c>
      <c r="Q414" t="str">
        <f t="shared" si="41"/>
        <v>Wed</v>
      </c>
    </row>
    <row r="415" spans="1:17" x14ac:dyDescent="0.3">
      <c r="A415" s="2">
        <v>46093</v>
      </c>
      <c r="B415" s="3" t="s">
        <v>461</v>
      </c>
      <c r="C415" s="3" t="s">
        <v>57</v>
      </c>
      <c r="D415" s="3" t="s">
        <v>53</v>
      </c>
      <c r="E415" s="3" t="s">
        <v>41</v>
      </c>
      <c r="F415" s="3" t="s">
        <v>21</v>
      </c>
      <c r="G415" s="3">
        <v>24</v>
      </c>
      <c r="H415" s="4">
        <v>941</v>
      </c>
      <c r="I415" s="4">
        <v>800</v>
      </c>
      <c r="J415" s="3" t="s">
        <v>22</v>
      </c>
      <c r="K415" s="3" t="s">
        <v>36</v>
      </c>
      <c r="L415">
        <f t="shared" si="39"/>
        <v>2026</v>
      </c>
      <c r="M415">
        <f t="shared" si="36"/>
        <v>3</v>
      </c>
      <c r="N415" t="str">
        <f t="shared" si="37"/>
        <v>Mar</v>
      </c>
      <c r="O415" t="str">
        <f t="shared" si="38"/>
        <v>2026-03</v>
      </c>
      <c r="P415" t="str">
        <f t="shared" si="40"/>
        <v>2026-W11</v>
      </c>
      <c r="Q415" t="str">
        <f t="shared" si="41"/>
        <v>Thu</v>
      </c>
    </row>
    <row r="416" spans="1:17" x14ac:dyDescent="0.3">
      <c r="A416" s="2">
        <v>46095</v>
      </c>
      <c r="B416" s="3" t="s">
        <v>462</v>
      </c>
      <c r="C416" s="3" t="s">
        <v>38</v>
      </c>
      <c r="D416" s="3" t="s">
        <v>19</v>
      </c>
      <c r="E416" s="3" t="s">
        <v>44</v>
      </c>
      <c r="F416" s="3" t="s">
        <v>34</v>
      </c>
      <c r="G416" s="3">
        <v>57</v>
      </c>
      <c r="H416" s="4">
        <v>3231</v>
      </c>
      <c r="I416" s="4">
        <v>3200</v>
      </c>
      <c r="J416" s="3" t="s">
        <v>22</v>
      </c>
      <c r="K416" s="3" t="s">
        <v>17</v>
      </c>
      <c r="L416">
        <f t="shared" si="39"/>
        <v>2026</v>
      </c>
      <c r="M416">
        <f t="shared" si="36"/>
        <v>3</v>
      </c>
      <c r="N416" t="str">
        <f t="shared" si="37"/>
        <v>Mar</v>
      </c>
      <c r="O416" t="str">
        <f t="shared" si="38"/>
        <v>2026-03</v>
      </c>
      <c r="P416" t="str">
        <f t="shared" si="40"/>
        <v>2026-W11</v>
      </c>
      <c r="Q416" t="str">
        <f t="shared" si="41"/>
        <v>Sat</v>
      </c>
    </row>
    <row r="417" spans="1:17" x14ac:dyDescent="0.3">
      <c r="A417" s="2">
        <v>46096</v>
      </c>
      <c r="B417" s="3" t="s">
        <v>463</v>
      </c>
      <c r="C417" s="3" t="s">
        <v>25</v>
      </c>
      <c r="D417" s="3" t="s">
        <v>53</v>
      </c>
      <c r="E417" s="3" t="s">
        <v>20</v>
      </c>
      <c r="F417" s="3" t="s">
        <v>21</v>
      </c>
      <c r="G417" s="3">
        <v>23</v>
      </c>
      <c r="H417" s="4">
        <v>788</v>
      </c>
      <c r="I417" s="4">
        <v>1000</v>
      </c>
      <c r="J417" s="3" t="s">
        <v>22</v>
      </c>
      <c r="K417" s="3" t="s">
        <v>17</v>
      </c>
      <c r="L417">
        <f t="shared" si="39"/>
        <v>2026</v>
      </c>
      <c r="M417">
        <f t="shared" si="36"/>
        <v>3</v>
      </c>
      <c r="N417" t="str">
        <f t="shared" si="37"/>
        <v>Mar</v>
      </c>
      <c r="O417" t="str">
        <f t="shared" si="38"/>
        <v>2026-03</v>
      </c>
      <c r="P417" t="str">
        <f t="shared" si="40"/>
        <v>2026-W11</v>
      </c>
      <c r="Q417" t="str">
        <f t="shared" si="41"/>
        <v>Sun</v>
      </c>
    </row>
    <row r="418" spans="1:17" x14ac:dyDescent="0.3">
      <c r="A418" s="2">
        <v>46097</v>
      </c>
      <c r="B418" s="3" t="s">
        <v>464</v>
      </c>
      <c r="C418" s="3" t="s">
        <v>12</v>
      </c>
      <c r="D418" s="3" t="s">
        <v>19</v>
      </c>
      <c r="E418" s="3" t="s">
        <v>14</v>
      </c>
      <c r="F418" s="3" t="s">
        <v>15</v>
      </c>
      <c r="G418" s="3">
        <v>81</v>
      </c>
      <c r="H418" s="4">
        <v>3911</v>
      </c>
      <c r="I418" s="4">
        <v>4400</v>
      </c>
      <c r="J418" s="3" t="s">
        <v>22</v>
      </c>
      <c r="K418" s="3" t="s">
        <v>36</v>
      </c>
      <c r="L418">
        <f t="shared" si="39"/>
        <v>2026</v>
      </c>
      <c r="M418">
        <f t="shared" si="36"/>
        <v>3</v>
      </c>
      <c r="N418" t="str">
        <f t="shared" si="37"/>
        <v>Mar</v>
      </c>
      <c r="O418" t="str">
        <f t="shared" si="38"/>
        <v>2026-03</v>
      </c>
      <c r="P418" t="str">
        <f t="shared" si="40"/>
        <v>2026-W12</v>
      </c>
      <c r="Q418" t="str">
        <f t="shared" si="41"/>
        <v>Mon</v>
      </c>
    </row>
    <row r="419" spans="1:17" x14ac:dyDescent="0.3">
      <c r="A419" s="2">
        <v>46098</v>
      </c>
      <c r="B419" s="3" t="s">
        <v>465</v>
      </c>
      <c r="C419" s="3" t="s">
        <v>12</v>
      </c>
      <c r="D419" s="3" t="s">
        <v>26</v>
      </c>
      <c r="E419" s="3" t="s">
        <v>68</v>
      </c>
      <c r="F419" s="3" t="s">
        <v>34</v>
      </c>
      <c r="G419" s="3">
        <v>14</v>
      </c>
      <c r="H419" s="4">
        <v>936</v>
      </c>
      <c r="I419" s="4">
        <v>800</v>
      </c>
      <c r="J419" s="3" t="s">
        <v>22</v>
      </c>
      <c r="K419" s="3" t="s">
        <v>17</v>
      </c>
      <c r="L419">
        <f t="shared" si="39"/>
        <v>2026</v>
      </c>
      <c r="M419">
        <f t="shared" si="36"/>
        <v>3</v>
      </c>
      <c r="N419" t="str">
        <f t="shared" si="37"/>
        <v>Mar</v>
      </c>
      <c r="O419" t="str">
        <f t="shared" si="38"/>
        <v>2026-03</v>
      </c>
      <c r="P419" t="str">
        <f t="shared" si="40"/>
        <v>2026-W12</v>
      </c>
      <c r="Q419" t="str">
        <f t="shared" si="41"/>
        <v>Tue</v>
      </c>
    </row>
    <row r="420" spans="1:17" x14ac:dyDescent="0.3">
      <c r="A420" s="2">
        <v>46098</v>
      </c>
      <c r="B420" s="3" t="s">
        <v>466</v>
      </c>
      <c r="C420" s="3" t="s">
        <v>25</v>
      </c>
      <c r="D420" s="3" t="s">
        <v>53</v>
      </c>
      <c r="E420" s="3" t="s">
        <v>61</v>
      </c>
      <c r="F420" s="3" t="s">
        <v>59</v>
      </c>
      <c r="G420" s="3">
        <v>81</v>
      </c>
      <c r="H420" s="4">
        <v>7838</v>
      </c>
      <c r="I420" s="4">
        <v>6700</v>
      </c>
      <c r="J420" s="3" t="s">
        <v>22</v>
      </c>
      <c r="K420" s="3" t="s">
        <v>23</v>
      </c>
      <c r="L420">
        <f t="shared" si="39"/>
        <v>2026</v>
      </c>
      <c r="M420">
        <f t="shared" si="36"/>
        <v>3</v>
      </c>
      <c r="N420" t="str">
        <f t="shared" si="37"/>
        <v>Mar</v>
      </c>
      <c r="O420" t="str">
        <f t="shared" si="38"/>
        <v>2026-03</v>
      </c>
      <c r="P420" t="str">
        <f t="shared" si="40"/>
        <v>2026-W12</v>
      </c>
      <c r="Q420" t="str">
        <f t="shared" si="41"/>
        <v>Tue</v>
      </c>
    </row>
    <row r="421" spans="1:17" x14ac:dyDescent="0.3">
      <c r="A421" s="2">
        <v>46099</v>
      </c>
      <c r="B421" s="3" t="s">
        <v>467</v>
      </c>
      <c r="C421" s="3" t="s">
        <v>57</v>
      </c>
      <c r="D421" s="3" t="s">
        <v>53</v>
      </c>
      <c r="E421" s="3" t="s">
        <v>123</v>
      </c>
      <c r="F421" s="3" t="s">
        <v>59</v>
      </c>
      <c r="G421" s="3">
        <v>117</v>
      </c>
      <c r="H421" s="4">
        <v>10387</v>
      </c>
      <c r="I421" s="4">
        <v>10600</v>
      </c>
      <c r="J421" s="3" t="s">
        <v>22</v>
      </c>
      <c r="K421" s="3" t="s">
        <v>17</v>
      </c>
      <c r="L421">
        <f t="shared" si="39"/>
        <v>2026</v>
      </c>
      <c r="M421">
        <f t="shared" si="36"/>
        <v>3</v>
      </c>
      <c r="N421" t="str">
        <f t="shared" si="37"/>
        <v>Mar</v>
      </c>
      <c r="O421" t="str">
        <f t="shared" si="38"/>
        <v>2026-03</v>
      </c>
      <c r="P421" t="str">
        <f t="shared" si="40"/>
        <v>2026-W12</v>
      </c>
      <c r="Q421" t="str">
        <f t="shared" si="41"/>
        <v>Wed</v>
      </c>
    </row>
    <row r="422" spans="1:17" x14ac:dyDescent="0.3">
      <c r="A422" s="2">
        <v>46099</v>
      </c>
      <c r="B422" s="3" t="s">
        <v>468</v>
      </c>
      <c r="C422" s="3" t="s">
        <v>12</v>
      </c>
      <c r="D422" s="3" t="s">
        <v>26</v>
      </c>
      <c r="E422" s="3" t="s">
        <v>29</v>
      </c>
      <c r="F422" s="3" t="s">
        <v>21</v>
      </c>
      <c r="G422" s="3">
        <v>75</v>
      </c>
      <c r="H422" s="4">
        <v>3524</v>
      </c>
      <c r="I422" s="4">
        <v>4200</v>
      </c>
      <c r="J422" s="3" t="s">
        <v>22</v>
      </c>
      <c r="K422" s="3" t="s">
        <v>30</v>
      </c>
      <c r="L422">
        <f t="shared" si="39"/>
        <v>2026</v>
      </c>
      <c r="M422">
        <f t="shared" si="36"/>
        <v>3</v>
      </c>
      <c r="N422" t="str">
        <f t="shared" si="37"/>
        <v>Mar</v>
      </c>
      <c r="O422" t="str">
        <f t="shared" si="38"/>
        <v>2026-03</v>
      </c>
      <c r="P422" t="str">
        <f t="shared" si="40"/>
        <v>2026-W12</v>
      </c>
      <c r="Q422" t="str">
        <f t="shared" si="41"/>
        <v>Wed</v>
      </c>
    </row>
    <row r="423" spans="1:17" x14ac:dyDescent="0.3">
      <c r="A423" s="2">
        <v>46100</v>
      </c>
      <c r="B423" s="3" t="s">
        <v>469</v>
      </c>
      <c r="C423" s="3" t="s">
        <v>50</v>
      </c>
      <c r="D423" s="3" t="s">
        <v>26</v>
      </c>
      <c r="E423" s="3" t="s">
        <v>61</v>
      </c>
      <c r="F423" s="3" t="s">
        <v>59</v>
      </c>
      <c r="G423" s="3">
        <v>90</v>
      </c>
      <c r="H423" s="4">
        <v>8428</v>
      </c>
      <c r="I423" s="4">
        <v>8600</v>
      </c>
      <c r="J423" s="3" t="s">
        <v>22</v>
      </c>
      <c r="K423" s="3" t="s">
        <v>17</v>
      </c>
      <c r="L423">
        <f t="shared" si="39"/>
        <v>2026</v>
      </c>
      <c r="M423">
        <f t="shared" si="36"/>
        <v>3</v>
      </c>
      <c r="N423" t="str">
        <f t="shared" si="37"/>
        <v>Mar</v>
      </c>
      <c r="O423" t="str">
        <f t="shared" si="38"/>
        <v>2026-03</v>
      </c>
      <c r="P423" t="str">
        <f t="shared" si="40"/>
        <v>2026-W12</v>
      </c>
      <c r="Q423" t="str">
        <f t="shared" si="41"/>
        <v>Thu</v>
      </c>
    </row>
    <row r="424" spans="1:17" x14ac:dyDescent="0.3">
      <c r="A424" s="2">
        <v>46100</v>
      </c>
      <c r="B424" s="3" t="s">
        <v>470</v>
      </c>
      <c r="C424" s="3" t="s">
        <v>50</v>
      </c>
      <c r="D424" s="3" t="s">
        <v>53</v>
      </c>
      <c r="E424" s="3" t="s">
        <v>61</v>
      </c>
      <c r="F424" s="3" t="s">
        <v>59</v>
      </c>
      <c r="G424" s="3">
        <v>99</v>
      </c>
      <c r="H424" s="4">
        <v>10631</v>
      </c>
      <c r="I424" s="4">
        <v>10900</v>
      </c>
      <c r="J424" s="3" t="s">
        <v>22</v>
      </c>
      <c r="K424" s="3" t="s">
        <v>23</v>
      </c>
      <c r="L424">
        <f t="shared" si="39"/>
        <v>2026</v>
      </c>
      <c r="M424">
        <f t="shared" si="36"/>
        <v>3</v>
      </c>
      <c r="N424" t="str">
        <f t="shared" si="37"/>
        <v>Mar</v>
      </c>
      <c r="O424" t="str">
        <f t="shared" si="38"/>
        <v>2026-03</v>
      </c>
      <c r="P424" t="str">
        <f t="shared" si="40"/>
        <v>2026-W12</v>
      </c>
      <c r="Q424" t="str">
        <f t="shared" si="41"/>
        <v>Thu</v>
      </c>
    </row>
    <row r="425" spans="1:17" x14ac:dyDescent="0.3">
      <c r="A425" s="2">
        <v>46100</v>
      </c>
      <c r="B425" s="3" t="s">
        <v>471</v>
      </c>
      <c r="C425" s="3" t="s">
        <v>43</v>
      </c>
      <c r="D425" s="3" t="s">
        <v>26</v>
      </c>
      <c r="E425" s="3" t="s">
        <v>61</v>
      </c>
      <c r="F425" s="3" t="s">
        <v>59</v>
      </c>
      <c r="G425" s="3">
        <v>36</v>
      </c>
      <c r="H425" s="4">
        <v>3709</v>
      </c>
      <c r="I425" s="4">
        <v>4600</v>
      </c>
      <c r="J425" s="3" t="s">
        <v>22</v>
      </c>
      <c r="K425" s="3" t="s">
        <v>23</v>
      </c>
      <c r="L425">
        <f t="shared" si="39"/>
        <v>2026</v>
      </c>
      <c r="M425">
        <f t="shared" si="36"/>
        <v>3</v>
      </c>
      <c r="N425" t="str">
        <f t="shared" si="37"/>
        <v>Mar</v>
      </c>
      <c r="O425" t="str">
        <f t="shared" si="38"/>
        <v>2026-03</v>
      </c>
      <c r="P425" t="str">
        <f t="shared" si="40"/>
        <v>2026-W12</v>
      </c>
      <c r="Q425" t="str">
        <f t="shared" si="41"/>
        <v>Thu</v>
      </c>
    </row>
    <row r="426" spans="1:17" x14ac:dyDescent="0.3">
      <c r="A426" s="2">
        <v>46100</v>
      </c>
      <c r="B426" s="3" t="s">
        <v>472</v>
      </c>
      <c r="C426" s="3" t="s">
        <v>38</v>
      </c>
      <c r="D426" s="3" t="s">
        <v>26</v>
      </c>
      <c r="E426" s="3" t="s">
        <v>58</v>
      </c>
      <c r="F426" s="3" t="s">
        <v>59</v>
      </c>
      <c r="G426" s="3">
        <v>110</v>
      </c>
      <c r="H426" s="4">
        <v>10416</v>
      </c>
      <c r="I426" s="4">
        <v>12600</v>
      </c>
      <c r="J426" s="3" t="s">
        <v>22</v>
      </c>
      <c r="K426" s="3" t="s">
        <v>36</v>
      </c>
      <c r="L426">
        <f t="shared" si="39"/>
        <v>2026</v>
      </c>
      <c r="M426">
        <f t="shared" si="36"/>
        <v>3</v>
      </c>
      <c r="N426" t="str">
        <f t="shared" si="37"/>
        <v>Mar</v>
      </c>
      <c r="O426" t="str">
        <f t="shared" si="38"/>
        <v>2026-03</v>
      </c>
      <c r="P426" t="str">
        <f t="shared" si="40"/>
        <v>2026-W12</v>
      </c>
      <c r="Q426" t="str">
        <f t="shared" si="41"/>
        <v>Thu</v>
      </c>
    </row>
    <row r="427" spans="1:17" x14ac:dyDescent="0.3">
      <c r="A427" s="2">
        <v>46100</v>
      </c>
      <c r="B427" s="3" t="s">
        <v>473</v>
      </c>
      <c r="C427" s="3" t="s">
        <v>43</v>
      </c>
      <c r="D427" s="3" t="s">
        <v>53</v>
      </c>
      <c r="E427" s="3" t="s">
        <v>27</v>
      </c>
      <c r="F427" s="3" t="s">
        <v>15</v>
      </c>
      <c r="G427" s="3">
        <v>79</v>
      </c>
      <c r="H427" s="4">
        <v>3991</v>
      </c>
      <c r="I427" s="4">
        <v>4200</v>
      </c>
      <c r="J427" s="3" t="s">
        <v>22</v>
      </c>
      <c r="K427" s="3" t="s">
        <v>30</v>
      </c>
      <c r="L427">
        <f t="shared" si="39"/>
        <v>2026</v>
      </c>
      <c r="M427">
        <f t="shared" si="36"/>
        <v>3</v>
      </c>
      <c r="N427" t="str">
        <f t="shared" si="37"/>
        <v>Mar</v>
      </c>
      <c r="O427" t="str">
        <f t="shared" si="38"/>
        <v>2026-03</v>
      </c>
      <c r="P427" t="str">
        <f t="shared" si="40"/>
        <v>2026-W12</v>
      </c>
      <c r="Q427" t="str">
        <f t="shared" si="41"/>
        <v>Thu</v>
      </c>
    </row>
    <row r="428" spans="1:17" x14ac:dyDescent="0.3">
      <c r="A428" s="2">
        <v>46100</v>
      </c>
      <c r="B428" s="3" t="s">
        <v>474</v>
      </c>
      <c r="C428" s="3" t="s">
        <v>12</v>
      </c>
      <c r="D428" s="3" t="s">
        <v>13</v>
      </c>
      <c r="E428" s="3" t="s">
        <v>68</v>
      </c>
      <c r="F428" s="3" t="s">
        <v>34</v>
      </c>
      <c r="G428" s="3">
        <v>93</v>
      </c>
      <c r="H428" s="4">
        <v>6397</v>
      </c>
      <c r="I428" s="4">
        <v>7000</v>
      </c>
      <c r="J428" s="3" t="s">
        <v>22</v>
      </c>
      <c r="K428" s="3" t="s">
        <v>30</v>
      </c>
      <c r="L428">
        <f t="shared" si="39"/>
        <v>2026</v>
      </c>
      <c r="M428">
        <f t="shared" si="36"/>
        <v>3</v>
      </c>
      <c r="N428" t="str">
        <f t="shared" si="37"/>
        <v>Mar</v>
      </c>
      <c r="O428" t="str">
        <f t="shared" si="38"/>
        <v>2026-03</v>
      </c>
      <c r="P428" t="str">
        <f t="shared" si="40"/>
        <v>2026-W12</v>
      </c>
      <c r="Q428" t="str">
        <f t="shared" si="41"/>
        <v>Thu</v>
      </c>
    </row>
    <row r="429" spans="1:17" x14ac:dyDescent="0.3">
      <c r="A429" s="2">
        <v>46101</v>
      </c>
      <c r="B429" s="3" t="s">
        <v>475</v>
      </c>
      <c r="C429" s="3" t="s">
        <v>12</v>
      </c>
      <c r="D429" s="3" t="s">
        <v>13</v>
      </c>
      <c r="E429" s="3" t="s">
        <v>61</v>
      </c>
      <c r="F429" s="3" t="s">
        <v>59</v>
      </c>
      <c r="G429" s="3">
        <v>44</v>
      </c>
      <c r="H429" s="4">
        <v>4178</v>
      </c>
      <c r="I429" s="4">
        <v>5000</v>
      </c>
      <c r="J429" s="3" t="s">
        <v>22</v>
      </c>
      <c r="K429" s="3" t="s">
        <v>17</v>
      </c>
      <c r="L429">
        <f t="shared" si="39"/>
        <v>2026</v>
      </c>
      <c r="M429">
        <f t="shared" si="36"/>
        <v>3</v>
      </c>
      <c r="N429" t="str">
        <f t="shared" si="37"/>
        <v>Mar</v>
      </c>
      <c r="O429" t="str">
        <f t="shared" si="38"/>
        <v>2026-03</v>
      </c>
      <c r="P429" t="str">
        <f t="shared" si="40"/>
        <v>2026-W12</v>
      </c>
      <c r="Q429" t="str">
        <f t="shared" si="41"/>
        <v>Fri</v>
      </c>
    </row>
    <row r="430" spans="1:17" x14ac:dyDescent="0.3">
      <c r="A430" s="2">
        <v>46102</v>
      </c>
      <c r="B430" s="3" t="s">
        <v>476</v>
      </c>
      <c r="C430" s="3" t="s">
        <v>57</v>
      </c>
      <c r="D430" s="3" t="s">
        <v>53</v>
      </c>
      <c r="E430" s="3" t="s">
        <v>20</v>
      </c>
      <c r="F430" s="3" t="s">
        <v>21</v>
      </c>
      <c r="G430" s="3">
        <v>16</v>
      </c>
      <c r="H430" s="4">
        <v>595</v>
      </c>
      <c r="I430" s="4">
        <v>500</v>
      </c>
      <c r="J430" s="3" t="s">
        <v>22</v>
      </c>
      <c r="K430" s="3" t="s">
        <v>23</v>
      </c>
      <c r="L430">
        <f t="shared" si="39"/>
        <v>2026</v>
      </c>
      <c r="M430">
        <f t="shared" si="36"/>
        <v>3</v>
      </c>
      <c r="N430" t="str">
        <f t="shared" si="37"/>
        <v>Mar</v>
      </c>
      <c r="O430" t="str">
        <f t="shared" si="38"/>
        <v>2026-03</v>
      </c>
      <c r="P430" t="str">
        <f t="shared" si="40"/>
        <v>2026-W12</v>
      </c>
      <c r="Q430" t="str">
        <f t="shared" si="41"/>
        <v>Sat</v>
      </c>
    </row>
    <row r="431" spans="1:17" x14ac:dyDescent="0.3">
      <c r="A431" s="2">
        <v>46102</v>
      </c>
      <c r="B431" s="3" t="s">
        <v>477</v>
      </c>
      <c r="C431" s="3" t="s">
        <v>43</v>
      </c>
      <c r="D431" s="3" t="s">
        <v>65</v>
      </c>
      <c r="E431" s="3" t="s">
        <v>20</v>
      </c>
      <c r="F431" s="3" t="s">
        <v>21</v>
      </c>
      <c r="G431" s="3">
        <v>63</v>
      </c>
      <c r="H431" s="4">
        <v>2545</v>
      </c>
      <c r="I431" s="4">
        <v>2400</v>
      </c>
      <c r="J431" s="3" t="s">
        <v>22</v>
      </c>
      <c r="K431" s="3" t="s">
        <v>36</v>
      </c>
      <c r="L431">
        <f t="shared" si="39"/>
        <v>2026</v>
      </c>
      <c r="M431">
        <f t="shared" si="36"/>
        <v>3</v>
      </c>
      <c r="N431" t="str">
        <f t="shared" si="37"/>
        <v>Mar</v>
      </c>
      <c r="O431" t="str">
        <f t="shared" si="38"/>
        <v>2026-03</v>
      </c>
      <c r="P431" t="str">
        <f t="shared" si="40"/>
        <v>2026-W12</v>
      </c>
      <c r="Q431" t="str">
        <f t="shared" si="41"/>
        <v>Sat</v>
      </c>
    </row>
    <row r="432" spans="1:17" x14ac:dyDescent="0.3">
      <c r="A432" s="2">
        <v>46103</v>
      </c>
      <c r="B432" s="3" t="s">
        <v>478</v>
      </c>
      <c r="C432" s="3" t="s">
        <v>32</v>
      </c>
      <c r="D432" s="3" t="s">
        <v>26</v>
      </c>
      <c r="E432" s="3" t="s">
        <v>48</v>
      </c>
      <c r="F432" s="3" t="s">
        <v>15</v>
      </c>
      <c r="G432" s="3">
        <v>22</v>
      </c>
      <c r="H432" s="4">
        <v>1318</v>
      </c>
      <c r="I432" s="4">
        <v>1200</v>
      </c>
      <c r="J432" s="3" t="s">
        <v>22</v>
      </c>
      <c r="K432" s="3" t="s">
        <v>30</v>
      </c>
      <c r="L432">
        <f t="shared" si="39"/>
        <v>2026</v>
      </c>
      <c r="M432">
        <f t="shared" si="36"/>
        <v>3</v>
      </c>
      <c r="N432" t="str">
        <f t="shared" si="37"/>
        <v>Mar</v>
      </c>
      <c r="O432" t="str">
        <f t="shared" si="38"/>
        <v>2026-03</v>
      </c>
      <c r="P432" t="str">
        <f t="shared" si="40"/>
        <v>2026-W12</v>
      </c>
      <c r="Q432" t="str">
        <f t="shared" si="41"/>
        <v>Sun</v>
      </c>
    </row>
    <row r="433" spans="1:17" x14ac:dyDescent="0.3">
      <c r="A433" s="2">
        <v>46104</v>
      </c>
      <c r="B433" s="3" t="s">
        <v>479</v>
      </c>
      <c r="C433" s="3" t="s">
        <v>43</v>
      </c>
      <c r="D433" s="3" t="s">
        <v>53</v>
      </c>
      <c r="E433" s="3" t="s">
        <v>41</v>
      </c>
      <c r="F433" s="3" t="s">
        <v>21</v>
      </c>
      <c r="G433" s="3">
        <v>99</v>
      </c>
      <c r="H433" s="4">
        <v>4458</v>
      </c>
      <c r="I433" s="4">
        <v>4400</v>
      </c>
      <c r="J433" s="3" t="s">
        <v>39</v>
      </c>
      <c r="K433" s="3" t="s">
        <v>17</v>
      </c>
      <c r="L433">
        <f t="shared" si="39"/>
        <v>2026</v>
      </c>
      <c r="M433">
        <f t="shared" si="36"/>
        <v>3</v>
      </c>
      <c r="N433" t="str">
        <f t="shared" si="37"/>
        <v>Mar</v>
      </c>
      <c r="O433" t="str">
        <f t="shared" si="38"/>
        <v>2026-03</v>
      </c>
      <c r="P433" t="str">
        <f t="shared" si="40"/>
        <v>2026-W13</v>
      </c>
      <c r="Q433" t="str">
        <f t="shared" si="41"/>
        <v>Mon</v>
      </c>
    </row>
    <row r="434" spans="1:17" x14ac:dyDescent="0.3">
      <c r="A434" s="2">
        <v>46104</v>
      </c>
      <c r="B434" s="3" t="s">
        <v>480</v>
      </c>
      <c r="C434" s="3" t="s">
        <v>57</v>
      </c>
      <c r="D434" s="3" t="s">
        <v>26</v>
      </c>
      <c r="E434" s="3" t="s">
        <v>14</v>
      </c>
      <c r="F434" s="3" t="s">
        <v>15</v>
      </c>
      <c r="G434" s="3">
        <v>35</v>
      </c>
      <c r="H434" s="4">
        <v>2255</v>
      </c>
      <c r="I434" s="4">
        <v>2300</v>
      </c>
      <c r="J434" s="3" t="s">
        <v>39</v>
      </c>
      <c r="K434" s="3" t="s">
        <v>23</v>
      </c>
      <c r="L434">
        <f t="shared" si="39"/>
        <v>2026</v>
      </c>
      <c r="M434">
        <f t="shared" si="36"/>
        <v>3</v>
      </c>
      <c r="N434" t="str">
        <f t="shared" si="37"/>
        <v>Mar</v>
      </c>
      <c r="O434" t="str">
        <f t="shared" si="38"/>
        <v>2026-03</v>
      </c>
      <c r="P434" t="str">
        <f t="shared" si="40"/>
        <v>2026-W13</v>
      </c>
      <c r="Q434" t="str">
        <f t="shared" si="41"/>
        <v>Mon</v>
      </c>
    </row>
    <row r="435" spans="1:17" x14ac:dyDescent="0.3">
      <c r="A435" s="2">
        <v>46104</v>
      </c>
      <c r="B435" s="3" t="s">
        <v>481</v>
      </c>
      <c r="C435" s="3" t="s">
        <v>25</v>
      </c>
      <c r="D435" s="3" t="s">
        <v>26</v>
      </c>
      <c r="E435" s="3" t="s">
        <v>20</v>
      </c>
      <c r="F435" s="3" t="s">
        <v>21</v>
      </c>
      <c r="G435" s="3">
        <v>38</v>
      </c>
      <c r="H435" s="4">
        <v>1417</v>
      </c>
      <c r="I435" s="4">
        <v>1500</v>
      </c>
      <c r="J435" s="3" t="s">
        <v>22</v>
      </c>
      <c r="K435" s="3" t="s">
        <v>36</v>
      </c>
      <c r="L435">
        <f t="shared" si="39"/>
        <v>2026</v>
      </c>
      <c r="M435">
        <f t="shared" si="36"/>
        <v>3</v>
      </c>
      <c r="N435" t="str">
        <f t="shared" si="37"/>
        <v>Mar</v>
      </c>
      <c r="O435" t="str">
        <f t="shared" si="38"/>
        <v>2026-03</v>
      </c>
      <c r="P435" t="str">
        <f t="shared" si="40"/>
        <v>2026-W13</v>
      </c>
      <c r="Q435" t="str">
        <f t="shared" si="41"/>
        <v>Mon</v>
      </c>
    </row>
    <row r="436" spans="1:17" x14ac:dyDescent="0.3">
      <c r="A436" s="2">
        <v>46104</v>
      </c>
      <c r="B436" s="3" t="s">
        <v>482</v>
      </c>
      <c r="C436" s="3" t="s">
        <v>12</v>
      </c>
      <c r="D436" s="3" t="s">
        <v>53</v>
      </c>
      <c r="E436" s="3" t="s">
        <v>48</v>
      </c>
      <c r="F436" s="3" t="s">
        <v>15</v>
      </c>
      <c r="G436" s="3">
        <v>99</v>
      </c>
      <c r="H436" s="4">
        <v>4613</v>
      </c>
      <c r="I436" s="4">
        <v>5300</v>
      </c>
      <c r="J436" s="3" t="s">
        <v>22</v>
      </c>
      <c r="K436" s="3" t="s">
        <v>23</v>
      </c>
      <c r="L436">
        <f t="shared" si="39"/>
        <v>2026</v>
      </c>
      <c r="M436">
        <f t="shared" si="36"/>
        <v>3</v>
      </c>
      <c r="N436" t="str">
        <f t="shared" si="37"/>
        <v>Mar</v>
      </c>
      <c r="O436" t="str">
        <f t="shared" si="38"/>
        <v>2026-03</v>
      </c>
      <c r="P436" t="str">
        <f t="shared" si="40"/>
        <v>2026-W13</v>
      </c>
      <c r="Q436" t="str">
        <f t="shared" si="41"/>
        <v>Mon</v>
      </c>
    </row>
    <row r="437" spans="1:17" x14ac:dyDescent="0.3">
      <c r="A437" s="2">
        <v>46105</v>
      </c>
      <c r="B437" s="3" t="s">
        <v>483</v>
      </c>
      <c r="C437" s="3" t="s">
        <v>50</v>
      </c>
      <c r="D437" s="3" t="s">
        <v>19</v>
      </c>
      <c r="E437" s="3" t="s">
        <v>61</v>
      </c>
      <c r="F437" s="3" t="s">
        <v>59</v>
      </c>
      <c r="G437" s="3">
        <v>53</v>
      </c>
      <c r="H437" s="4">
        <v>6170</v>
      </c>
      <c r="I437" s="4">
        <v>5600</v>
      </c>
      <c r="J437" s="3" t="s">
        <v>22</v>
      </c>
      <c r="K437" s="3" t="s">
        <v>17</v>
      </c>
      <c r="L437">
        <f t="shared" si="39"/>
        <v>2026</v>
      </c>
      <c r="M437">
        <f t="shared" si="36"/>
        <v>3</v>
      </c>
      <c r="N437" t="str">
        <f t="shared" si="37"/>
        <v>Mar</v>
      </c>
      <c r="O437" t="str">
        <f t="shared" si="38"/>
        <v>2026-03</v>
      </c>
      <c r="P437" t="str">
        <f t="shared" si="40"/>
        <v>2026-W13</v>
      </c>
      <c r="Q437" t="str">
        <f t="shared" si="41"/>
        <v>Tue</v>
      </c>
    </row>
    <row r="438" spans="1:17" x14ac:dyDescent="0.3">
      <c r="A438" s="2">
        <v>46105</v>
      </c>
      <c r="B438" s="3" t="s">
        <v>484</v>
      </c>
      <c r="C438" s="3" t="s">
        <v>38</v>
      </c>
      <c r="D438" s="3" t="s">
        <v>26</v>
      </c>
      <c r="E438" s="3" t="s">
        <v>58</v>
      </c>
      <c r="F438" s="3" t="s">
        <v>59</v>
      </c>
      <c r="G438" s="3">
        <v>18</v>
      </c>
      <c r="H438" s="4">
        <v>2076</v>
      </c>
      <c r="I438" s="4">
        <v>2400</v>
      </c>
      <c r="J438" s="3" t="s">
        <v>22</v>
      </c>
      <c r="K438" s="3" t="s">
        <v>30</v>
      </c>
      <c r="L438">
        <f t="shared" si="39"/>
        <v>2026</v>
      </c>
      <c r="M438">
        <f t="shared" si="36"/>
        <v>3</v>
      </c>
      <c r="N438" t="str">
        <f t="shared" si="37"/>
        <v>Mar</v>
      </c>
      <c r="O438" t="str">
        <f t="shared" si="38"/>
        <v>2026-03</v>
      </c>
      <c r="P438" t="str">
        <f t="shared" si="40"/>
        <v>2026-W13</v>
      </c>
      <c r="Q438" t="str">
        <f t="shared" si="41"/>
        <v>Tue</v>
      </c>
    </row>
    <row r="439" spans="1:17" x14ac:dyDescent="0.3">
      <c r="A439" s="2">
        <v>46105</v>
      </c>
      <c r="B439" s="3" t="s">
        <v>485</v>
      </c>
      <c r="C439" s="3" t="s">
        <v>32</v>
      </c>
      <c r="D439" s="3" t="s">
        <v>65</v>
      </c>
      <c r="E439" s="3" t="s">
        <v>14</v>
      </c>
      <c r="F439" s="3" t="s">
        <v>15</v>
      </c>
      <c r="G439" s="3">
        <v>105</v>
      </c>
      <c r="H439" s="4">
        <v>6514</v>
      </c>
      <c r="I439" s="4">
        <v>6100</v>
      </c>
      <c r="J439" s="3" t="s">
        <v>39</v>
      </c>
      <c r="K439" s="3" t="s">
        <v>17</v>
      </c>
      <c r="L439">
        <f t="shared" si="39"/>
        <v>2026</v>
      </c>
      <c r="M439">
        <f t="shared" si="36"/>
        <v>3</v>
      </c>
      <c r="N439" t="str">
        <f t="shared" si="37"/>
        <v>Mar</v>
      </c>
      <c r="O439" t="str">
        <f t="shared" si="38"/>
        <v>2026-03</v>
      </c>
      <c r="P439" t="str">
        <f t="shared" si="40"/>
        <v>2026-W13</v>
      </c>
      <c r="Q439" t="str">
        <f t="shared" si="41"/>
        <v>Tue</v>
      </c>
    </row>
    <row r="440" spans="1:17" x14ac:dyDescent="0.3">
      <c r="A440" s="2">
        <v>46105</v>
      </c>
      <c r="B440" s="3" t="s">
        <v>486</v>
      </c>
      <c r="C440" s="3" t="s">
        <v>12</v>
      </c>
      <c r="D440" s="3" t="s">
        <v>65</v>
      </c>
      <c r="E440" s="3" t="s">
        <v>123</v>
      </c>
      <c r="F440" s="3" t="s">
        <v>59</v>
      </c>
      <c r="G440" s="3">
        <v>20</v>
      </c>
      <c r="H440" s="4">
        <v>1798</v>
      </c>
      <c r="I440" s="4">
        <v>1600</v>
      </c>
      <c r="J440" s="3" t="s">
        <v>22</v>
      </c>
      <c r="K440" s="3" t="s">
        <v>30</v>
      </c>
      <c r="L440">
        <f t="shared" si="39"/>
        <v>2026</v>
      </c>
      <c r="M440">
        <f t="shared" si="36"/>
        <v>3</v>
      </c>
      <c r="N440" t="str">
        <f t="shared" si="37"/>
        <v>Mar</v>
      </c>
      <c r="O440" t="str">
        <f t="shared" si="38"/>
        <v>2026-03</v>
      </c>
      <c r="P440" t="str">
        <f t="shared" si="40"/>
        <v>2026-W13</v>
      </c>
      <c r="Q440" t="str">
        <f t="shared" si="41"/>
        <v>Tue</v>
      </c>
    </row>
    <row r="441" spans="1:17" x14ac:dyDescent="0.3">
      <c r="A441" s="2">
        <v>46106</v>
      </c>
      <c r="B441" s="3" t="s">
        <v>487</v>
      </c>
      <c r="C441" s="3" t="s">
        <v>12</v>
      </c>
      <c r="D441" s="3" t="s">
        <v>26</v>
      </c>
      <c r="E441" s="3" t="s">
        <v>58</v>
      </c>
      <c r="F441" s="3" t="s">
        <v>59</v>
      </c>
      <c r="G441" s="3">
        <v>83</v>
      </c>
      <c r="H441" s="4">
        <v>8959</v>
      </c>
      <c r="I441" s="4">
        <v>7200</v>
      </c>
      <c r="J441" s="3" t="s">
        <v>22</v>
      </c>
      <c r="K441" s="3" t="s">
        <v>30</v>
      </c>
      <c r="L441">
        <f t="shared" si="39"/>
        <v>2026</v>
      </c>
      <c r="M441">
        <f t="shared" si="36"/>
        <v>3</v>
      </c>
      <c r="N441" t="str">
        <f t="shared" si="37"/>
        <v>Mar</v>
      </c>
      <c r="O441" t="str">
        <f t="shared" si="38"/>
        <v>2026-03</v>
      </c>
      <c r="P441" t="str">
        <f t="shared" si="40"/>
        <v>2026-W13</v>
      </c>
      <c r="Q441" t="str">
        <f t="shared" si="41"/>
        <v>Wed</v>
      </c>
    </row>
    <row r="442" spans="1:17" x14ac:dyDescent="0.3">
      <c r="A442" s="2">
        <v>46106</v>
      </c>
      <c r="B442" s="3" t="s">
        <v>488</v>
      </c>
      <c r="C442" s="3" t="s">
        <v>57</v>
      </c>
      <c r="D442" s="3" t="s">
        <v>26</v>
      </c>
      <c r="E442" s="3" t="s">
        <v>14</v>
      </c>
      <c r="F442" s="3" t="s">
        <v>15</v>
      </c>
      <c r="G442" s="3">
        <v>33</v>
      </c>
      <c r="H442" s="4">
        <v>1617</v>
      </c>
      <c r="I442" s="4">
        <v>1700</v>
      </c>
      <c r="J442" s="3" t="s">
        <v>22</v>
      </c>
      <c r="K442" s="3" t="s">
        <v>30</v>
      </c>
      <c r="L442">
        <f t="shared" si="39"/>
        <v>2026</v>
      </c>
      <c r="M442">
        <f t="shared" si="36"/>
        <v>3</v>
      </c>
      <c r="N442" t="str">
        <f t="shared" si="37"/>
        <v>Mar</v>
      </c>
      <c r="O442" t="str">
        <f t="shared" si="38"/>
        <v>2026-03</v>
      </c>
      <c r="P442" t="str">
        <f t="shared" si="40"/>
        <v>2026-W13</v>
      </c>
      <c r="Q442" t="str">
        <f t="shared" si="41"/>
        <v>Wed</v>
      </c>
    </row>
    <row r="443" spans="1:17" x14ac:dyDescent="0.3">
      <c r="A443" s="2">
        <v>46106</v>
      </c>
      <c r="B443" s="3" t="s">
        <v>489</v>
      </c>
      <c r="C443" s="3" t="s">
        <v>38</v>
      </c>
      <c r="D443" s="3" t="s">
        <v>26</v>
      </c>
      <c r="E443" s="3" t="s">
        <v>44</v>
      </c>
      <c r="F443" s="3" t="s">
        <v>34</v>
      </c>
      <c r="G443" s="3">
        <v>15</v>
      </c>
      <c r="H443" s="4">
        <v>857</v>
      </c>
      <c r="I443" s="4">
        <v>700</v>
      </c>
      <c r="J443" s="3" t="s">
        <v>22</v>
      </c>
      <c r="K443" s="3" t="s">
        <v>36</v>
      </c>
      <c r="L443">
        <f t="shared" si="39"/>
        <v>2026</v>
      </c>
      <c r="M443">
        <f t="shared" si="36"/>
        <v>3</v>
      </c>
      <c r="N443" t="str">
        <f t="shared" si="37"/>
        <v>Mar</v>
      </c>
      <c r="O443" t="str">
        <f t="shared" si="38"/>
        <v>2026-03</v>
      </c>
      <c r="P443" t="str">
        <f t="shared" si="40"/>
        <v>2026-W13</v>
      </c>
      <c r="Q443" t="str">
        <f t="shared" si="41"/>
        <v>Wed</v>
      </c>
    </row>
    <row r="444" spans="1:17" x14ac:dyDescent="0.3">
      <c r="A444" s="2">
        <v>46107</v>
      </c>
      <c r="B444" s="3" t="s">
        <v>490</v>
      </c>
      <c r="C444" s="3" t="s">
        <v>38</v>
      </c>
      <c r="D444" s="3" t="s">
        <v>53</v>
      </c>
      <c r="E444" s="3" t="s">
        <v>41</v>
      </c>
      <c r="F444" s="3" t="s">
        <v>21</v>
      </c>
      <c r="G444" s="3">
        <v>35</v>
      </c>
      <c r="H444" s="4">
        <v>1203</v>
      </c>
      <c r="I444" s="4">
        <v>1400</v>
      </c>
      <c r="J444" s="3" t="s">
        <v>39</v>
      </c>
      <c r="K444" s="3" t="s">
        <v>30</v>
      </c>
      <c r="L444">
        <f t="shared" si="39"/>
        <v>2026</v>
      </c>
      <c r="M444">
        <f t="shared" si="36"/>
        <v>3</v>
      </c>
      <c r="N444" t="str">
        <f t="shared" si="37"/>
        <v>Mar</v>
      </c>
      <c r="O444" t="str">
        <f t="shared" si="38"/>
        <v>2026-03</v>
      </c>
      <c r="P444" t="str">
        <f t="shared" si="40"/>
        <v>2026-W13</v>
      </c>
      <c r="Q444" t="str">
        <f t="shared" si="41"/>
        <v>Thu</v>
      </c>
    </row>
    <row r="445" spans="1:17" x14ac:dyDescent="0.3">
      <c r="A445" s="2">
        <v>46107</v>
      </c>
      <c r="B445" s="3" t="s">
        <v>491</v>
      </c>
      <c r="C445" s="3" t="s">
        <v>38</v>
      </c>
      <c r="D445" s="3" t="s">
        <v>47</v>
      </c>
      <c r="E445" s="3" t="s">
        <v>123</v>
      </c>
      <c r="F445" s="3" t="s">
        <v>59</v>
      </c>
      <c r="G445" s="3">
        <v>63</v>
      </c>
      <c r="H445" s="4">
        <v>6529</v>
      </c>
      <c r="I445" s="4">
        <v>7900</v>
      </c>
      <c r="J445" s="3" t="s">
        <v>22</v>
      </c>
      <c r="K445" s="3" t="s">
        <v>17</v>
      </c>
      <c r="L445">
        <f t="shared" si="39"/>
        <v>2026</v>
      </c>
      <c r="M445">
        <f t="shared" si="36"/>
        <v>3</v>
      </c>
      <c r="N445" t="str">
        <f t="shared" si="37"/>
        <v>Mar</v>
      </c>
      <c r="O445" t="str">
        <f t="shared" si="38"/>
        <v>2026-03</v>
      </c>
      <c r="P445" t="str">
        <f t="shared" si="40"/>
        <v>2026-W13</v>
      </c>
      <c r="Q445" t="str">
        <f t="shared" si="41"/>
        <v>Thu</v>
      </c>
    </row>
    <row r="446" spans="1:17" x14ac:dyDescent="0.3">
      <c r="A446" s="2">
        <v>46108</v>
      </c>
      <c r="B446" s="3" t="s">
        <v>492</v>
      </c>
      <c r="C446" s="3" t="s">
        <v>25</v>
      </c>
      <c r="D446" s="3" t="s">
        <v>19</v>
      </c>
      <c r="E446" s="3" t="s">
        <v>58</v>
      </c>
      <c r="F446" s="3" t="s">
        <v>59</v>
      </c>
      <c r="G446" s="3">
        <v>81</v>
      </c>
      <c r="H446" s="4">
        <v>9145</v>
      </c>
      <c r="I446" s="4">
        <v>11100</v>
      </c>
      <c r="J446" s="3" t="s">
        <v>22</v>
      </c>
      <c r="K446" s="3" t="s">
        <v>36</v>
      </c>
      <c r="L446">
        <f t="shared" si="39"/>
        <v>2026</v>
      </c>
      <c r="M446">
        <f t="shared" si="36"/>
        <v>3</v>
      </c>
      <c r="N446" t="str">
        <f t="shared" si="37"/>
        <v>Mar</v>
      </c>
      <c r="O446" t="str">
        <f t="shared" si="38"/>
        <v>2026-03</v>
      </c>
      <c r="P446" t="str">
        <f t="shared" si="40"/>
        <v>2026-W13</v>
      </c>
      <c r="Q446" t="str">
        <f t="shared" si="41"/>
        <v>Fri</v>
      </c>
    </row>
    <row r="447" spans="1:17" x14ac:dyDescent="0.3">
      <c r="A447" s="2">
        <v>46108</v>
      </c>
      <c r="B447" s="3" t="s">
        <v>493</v>
      </c>
      <c r="C447" s="3" t="s">
        <v>25</v>
      </c>
      <c r="D447" s="3" t="s">
        <v>47</v>
      </c>
      <c r="E447" s="3" t="s">
        <v>123</v>
      </c>
      <c r="F447" s="3" t="s">
        <v>59</v>
      </c>
      <c r="G447" s="3">
        <v>84</v>
      </c>
      <c r="H447" s="4">
        <v>8726</v>
      </c>
      <c r="I447" s="4">
        <v>7300</v>
      </c>
      <c r="J447" s="3" t="s">
        <v>22</v>
      </c>
      <c r="K447" s="3" t="s">
        <v>30</v>
      </c>
      <c r="L447">
        <f t="shared" si="39"/>
        <v>2026</v>
      </c>
      <c r="M447">
        <f t="shared" si="36"/>
        <v>3</v>
      </c>
      <c r="N447" t="str">
        <f t="shared" si="37"/>
        <v>Mar</v>
      </c>
      <c r="O447" t="str">
        <f t="shared" si="38"/>
        <v>2026-03</v>
      </c>
      <c r="P447" t="str">
        <f t="shared" si="40"/>
        <v>2026-W13</v>
      </c>
      <c r="Q447" t="str">
        <f t="shared" si="41"/>
        <v>Fri</v>
      </c>
    </row>
    <row r="448" spans="1:17" x14ac:dyDescent="0.3">
      <c r="A448" s="2">
        <v>46108</v>
      </c>
      <c r="B448" s="3" t="s">
        <v>494</v>
      </c>
      <c r="C448" s="3" t="s">
        <v>91</v>
      </c>
      <c r="D448" s="3" t="s">
        <v>53</v>
      </c>
      <c r="E448" s="3" t="s">
        <v>41</v>
      </c>
      <c r="F448" s="3" t="s">
        <v>21</v>
      </c>
      <c r="G448" s="3">
        <v>69</v>
      </c>
      <c r="H448" s="4">
        <v>2760</v>
      </c>
      <c r="I448" s="4">
        <v>3200</v>
      </c>
      <c r="J448" s="3" t="s">
        <v>22</v>
      </c>
      <c r="K448" s="3" t="s">
        <v>36</v>
      </c>
      <c r="L448">
        <f t="shared" si="39"/>
        <v>2026</v>
      </c>
      <c r="M448">
        <f t="shared" si="36"/>
        <v>3</v>
      </c>
      <c r="N448" t="str">
        <f t="shared" si="37"/>
        <v>Mar</v>
      </c>
      <c r="O448" t="str">
        <f t="shared" si="38"/>
        <v>2026-03</v>
      </c>
      <c r="P448" t="str">
        <f t="shared" si="40"/>
        <v>2026-W13</v>
      </c>
      <c r="Q448" t="str">
        <f t="shared" si="41"/>
        <v>Fri</v>
      </c>
    </row>
    <row r="449" spans="1:17" x14ac:dyDescent="0.3">
      <c r="A449" s="2">
        <v>46109</v>
      </c>
      <c r="B449" s="3" t="s">
        <v>495</v>
      </c>
      <c r="C449" s="3" t="s">
        <v>57</v>
      </c>
      <c r="D449" s="3" t="s">
        <v>19</v>
      </c>
      <c r="E449" s="3" t="s">
        <v>20</v>
      </c>
      <c r="F449" s="3" t="s">
        <v>21</v>
      </c>
      <c r="G449" s="3">
        <v>47</v>
      </c>
      <c r="H449" s="4">
        <v>1945</v>
      </c>
      <c r="I449" s="4">
        <v>2400</v>
      </c>
      <c r="J449" s="3" t="s">
        <v>22</v>
      </c>
      <c r="K449" s="3" t="s">
        <v>30</v>
      </c>
      <c r="L449">
        <f t="shared" si="39"/>
        <v>2026</v>
      </c>
      <c r="M449">
        <f t="shared" si="36"/>
        <v>3</v>
      </c>
      <c r="N449" t="str">
        <f t="shared" si="37"/>
        <v>Mar</v>
      </c>
      <c r="O449" t="str">
        <f t="shared" si="38"/>
        <v>2026-03</v>
      </c>
      <c r="P449" t="str">
        <f t="shared" si="40"/>
        <v>2026-W13</v>
      </c>
      <c r="Q449" t="str">
        <f t="shared" si="41"/>
        <v>Sat</v>
      </c>
    </row>
    <row r="450" spans="1:17" x14ac:dyDescent="0.3">
      <c r="A450" s="2">
        <v>46110</v>
      </c>
      <c r="B450" s="3" t="s">
        <v>496</v>
      </c>
      <c r="C450" s="3" t="s">
        <v>32</v>
      </c>
      <c r="D450" s="3" t="s">
        <v>26</v>
      </c>
      <c r="E450" s="3" t="s">
        <v>41</v>
      </c>
      <c r="F450" s="3" t="s">
        <v>21</v>
      </c>
      <c r="G450" s="3">
        <v>12</v>
      </c>
      <c r="H450" s="4">
        <v>469</v>
      </c>
      <c r="I450" s="4">
        <v>400</v>
      </c>
      <c r="J450" s="3" t="s">
        <v>22</v>
      </c>
      <c r="K450" s="3" t="s">
        <v>30</v>
      </c>
      <c r="L450">
        <f t="shared" si="39"/>
        <v>2026</v>
      </c>
      <c r="M450">
        <f t="shared" ref="M450:M513" si="42">MONTH($A450)</f>
        <v>3</v>
      </c>
      <c r="N450" t="str">
        <f t="shared" ref="N450:N513" si="43">TEXT($A450,"mmm")</f>
        <v>Mar</v>
      </c>
      <c r="O450" t="str">
        <f t="shared" ref="O450:O513" si="44">YEAR($A450)&amp;"-"&amp;TEXT(MONTH($A450),"00")</f>
        <v>2026-03</v>
      </c>
      <c r="P450" t="str">
        <f t="shared" si="40"/>
        <v>2026-W13</v>
      </c>
      <c r="Q450" t="str">
        <f t="shared" si="41"/>
        <v>Sun</v>
      </c>
    </row>
    <row r="451" spans="1:17" x14ac:dyDescent="0.3">
      <c r="A451" s="2">
        <v>46112</v>
      </c>
      <c r="B451" s="3" t="s">
        <v>497</v>
      </c>
      <c r="C451" s="3" t="s">
        <v>91</v>
      </c>
      <c r="D451" s="3" t="s">
        <v>19</v>
      </c>
      <c r="E451" s="3" t="s">
        <v>58</v>
      </c>
      <c r="F451" s="3" t="s">
        <v>59</v>
      </c>
      <c r="G451" s="3">
        <v>117</v>
      </c>
      <c r="H451" s="4">
        <v>13142</v>
      </c>
      <c r="I451" s="4">
        <v>12200</v>
      </c>
      <c r="J451" s="3" t="s">
        <v>22</v>
      </c>
      <c r="K451" s="3" t="s">
        <v>36</v>
      </c>
      <c r="L451">
        <f t="shared" ref="L451:L514" si="45">YEAR($A451)</f>
        <v>2026</v>
      </c>
      <c r="M451">
        <f t="shared" si="42"/>
        <v>3</v>
      </c>
      <c r="N451" t="str">
        <f t="shared" si="43"/>
        <v>Mar</v>
      </c>
      <c r="O451" t="str">
        <f t="shared" si="44"/>
        <v>2026-03</v>
      </c>
      <c r="P451" t="str">
        <f t="shared" ref="P451:P514" si="46">YEAR($A451)&amp;"-W"&amp;TEXT(WEEKNUM($A451,2),"00")</f>
        <v>2026-W14</v>
      </c>
      <c r="Q451" t="str">
        <f t="shared" ref="Q451:Q514" si="47">CHOOSE(WEEKDAY($A451,2),"Mon","Tue","Wed","Thu","Fri","Sat","Sun")</f>
        <v>Tue</v>
      </c>
    </row>
    <row r="452" spans="1:17" x14ac:dyDescent="0.3">
      <c r="A452" s="2">
        <v>46112</v>
      </c>
      <c r="B452" s="3" t="s">
        <v>498</v>
      </c>
      <c r="C452" s="3" t="s">
        <v>50</v>
      </c>
      <c r="D452" s="3" t="s">
        <v>26</v>
      </c>
      <c r="E452" s="3" t="s">
        <v>29</v>
      </c>
      <c r="F452" s="3" t="s">
        <v>21</v>
      </c>
      <c r="G452" s="3">
        <v>112</v>
      </c>
      <c r="H452" s="4">
        <v>3871</v>
      </c>
      <c r="I452" s="4">
        <v>4700</v>
      </c>
      <c r="J452" s="3" t="s">
        <v>22</v>
      </c>
      <c r="K452" s="3" t="s">
        <v>17</v>
      </c>
      <c r="L452">
        <f t="shared" si="45"/>
        <v>2026</v>
      </c>
      <c r="M452">
        <f t="shared" si="42"/>
        <v>3</v>
      </c>
      <c r="N452" t="str">
        <f t="shared" si="43"/>
        <v>Mar</v>
      </c>
      <c r="O452" t="str">
        <f t="shared" si="44"/>
        <v>2026-03</v>
      </c>
      <c r="P452" t="str">
        <f t="shared" si="46"/>
        <v>2026-W14</v>
      </c>
      <c r="Q452" t="str">
        <f t="shared" si="47"/>
        <v>Tue</v>
      </c>
    </row>
    <row r="453" spans="1:17" x14ac:dyDescent="0.3">
      <c r="A453" s="2">
        <v>46112</v>
      </c>
      <c r="B453" s="3" t="s">
        <v>499</v>
      </c>
      <c r="C453" s="3" t="s">
        <v>32</v>
      </c>
      <c r="D453" s="3" t="s">
        <v>65</v>
      </c>
      <c r="E453" s="3" t="s">
        <v>61</v>
      </c>
      <c r="F453" s="3" t="s">
        <v>59</v>
      </c>
      <c r="G453" s="3">
        <v>7</v>
      </c>
      <c r="H453" s="4">
        <v>744</v>
      </c>
      <c r="I453" s="4">
        <v>700</v>
      </c>
      <c r="J453" s="3" t="s">
        <v>22</v>
      </c>
      <c r="K453" s="3" t="s">
        <v>30</v>
      </c>
      <c r="L453">
        <f t="shared" si="45"/>
        <v>2026</v>
      </c>
      <c r="M453">
        <f t="shared" si="42"/>
        <v>3</v>
      </c>
      <c r="N453" t="str">
        <f t="shared" si="43"/>
        <v>Mar</v>
      </c>
      <c r="O453" t="str">
        <f t="shared" si="44"/>
        <v>2026-03</v>
      </c>
      <c r="P453" t="str">
        <f t="shared" si="46"/>
        <v>2026-W14</v>
      </c>
      <c r="Q453" t="str">
        <f t="shared" si="47"/>
        <v>Tue</v>
      </c>
    </row>
    <row r="454" spans="1:17" x14ac:dyDescent="0.3">
      <c r="A454" s="2">
        <v>46112</v>
      </c>
      <c r="B454" s="3" t="s">
        <v>500</v>
      </c>
      <c r="C454" s="3" t="s">
        <v>43</v>
      </c>
      <c r="D454" s="3" t="s">
        <v>53</v>
      </c>
      <c r="E454" s="3" t="s">
        <v>27</v>
      </c>
      <c r="F454" s="3" t="s">
        <v>15</v>
      </c>
      <c r="G454" s="3">
        <v>37</v>
      </c>
      <c r="H454" s="4">
        <v>2121</v>
      </c>
      <c r="I454" s="4">
        <v>2500</v>
      </c>
      <c r="J454" s="3" t="s">
        <v>22</v>
      </c>
      <c r="K454" s="3" t="s">
        <v>36</v>
      </c>
      <c r="L454">
        <f t="shared" si="45"/>
        <v>2026</v>
      </c>
      <c r="M454">
        <f t="shared" si="42"/>
        <v>3</v>
      </c>
      <c r="N454" t="str">
        <f t="shared" si="43"/>
        <v>Mar</v>
      </c>
      <c r="O454" t="str">
        <f t="shared" si="44"/>
        <v>2026-03</v>
      </c>
      <c r="P454" t="str">
        <f t="shared" si="46"/>
        <v>2026-W14</v>
      </c>
      <c r="Q454" t="str">
        <f t="shared" si="47"/>
        <v>Tue</v>
      </c>
    </row>
    <row r="455" spans="1:17" x14ac:dyDescent="0.3">
      <c r="A455" s="2">
        <v>46115</v>
      </c>
      <c r="B455" s="3" t="s">
        <v>501</v>
      </c>
      <c r="C455" s="3" t="s">
        <v>12</v>
      </c>
      <c r="D455" s="3" t="s">
        <v>19</v>
      </c>
      <c r="E455" s="3" t="s">
        <v>58</v>
      </c>
      <c r="F455" s="3" t="s">
        <v>59</v>
      </c>
      <c r="G455" s="3">
        <v>15</v>
      </c>
      <c r="H455" s="4">
        <v>1557</v>
      </c>
      <c r="I455" s="4">
        <v>1800</v>
      </c>
      <c r="J455" s="3" t="s">
        <v>22</v>
      </c>
      <c r="K455" s="3" t="s">
        <v>36</v>
      </c>
      <c r="L455">
        <f t="shared" si="45"/>
        <v>2026</v>
      </c>
      <c r="M455">
        <f t="shared" si="42"/>
        <v>4</v>
      </c>
      <c r="N455" t="str">
        <f t="shared" si="43"/>
        <v>Apr</v>
      </c>
      <c r="O455" t="str">
        <f t="shared" si="44"/>
        <v>2026-04</v>
      </c>
      <c r="P455" t="str">
        <f t="shared" si="46"/>
        <v>2026-W14</v>
      </c>
      <c r="Q455" t="str">
        <f t="shared" si="47"/>
        <v>Fri</v>
      </c>
    </row>
    <row r="456" spans="1:17" x14ac:dyDescent="0.3">
      <c r="A456" s="2">
        <v>46115</v>
      </c>
      <c r="B456" s="3" t="s">
        <v>502</v>
      </c>
      <c r="C456" s="3" t="s">
        <v>38</v>
      </c>
      <c r="D456" s="3" t="s">
        <v>26</v>
      </c>
      <c r="E456" s="3" t="s">
        <v>44</v>
      </c>
      <c r="F456" s="3" t="s">
        <v>34</v>
      </c>
      <c r="G456" s="3">
        <v>53</v>
      </c>
      <c r="H456" s="4">
        <v>3734</v>
      </c>
      <c r="I456" s="4">
        <v>3500</v>
      </c>
      <c r="J456" s="3" t="s">
        <v>22</v>
      </c>
      <c r="K456" s="3" t="s">
        <v>17</v>
      </c>
      <c r="L456">
        <f t="shared" si="45"/>
        <v>2026</v>
      </c>
      <c r="M456">
        <f t="shared" si="42"/>
        <v>4</v>
      </c>
      <c r="N456" t="str">
        <f t="shared" si="43"/>
        <v>Apr</v>
      </c>
      <c r="O456" t="str">
        <f t="shared" si="44"/>
        <v>2026-04</v>
      </c>
      <c r="P456" t="str">
        <f t="shared" si="46"/>
        <v>2026-W14</v>
      </c>
      <c r="Q456" t="str">
        <f t="shared" si="47"/>
        <v>Fri</v>
      </c>
    </row>
    <row r="457" spans="1:17" x14ac:dyDescent="0.3">
      <c r="A457" s="2">
        <v>46115</v>
      </c>
      <c r="B457" s="3" t="s">
        <v>503</v>
      </c>
      <c r="C457" s="3" t="s">
        <v>43</v>
      </c>
      <c r="D457" s="3" t="s">
        <v>26</v>
      </c>
      <c r="E457" s="3" t="s">
        <v>58</v>
      </c>
      <c r="F457" s="3" t="s">
        <v>59</v>
      </c>
      <c r="G457" s="3">
        <v>101</v>
      </c>
      <c r="H457" s="4">
        <v>10075</v>
      </c>
      <c r="I457" s="4">
        <v>8700</v>
      </c>
      <c r="J457" s="3" t="s">
        <v>22</v>
      </c>
      <c r="K457" s="3" t="s">
        <v>36</v>
      </c>
      <c r="L457">
        <f t="shared" si="45"/>
        <v>2026</v>
      </c>
      <c r="M457">
        <f t="shared" si="42"/>
        <v>4</v>
      </c>
      <c r="N457" t="str">
        <f t="shared" si="43"/>
        <v>Apr</v>
      </c>
      <c r="O457" t="str">
        <f t="shared" si="44"/>
        <v>2026-04</v>
      </c>
      <c r="P457" t="str">
        <f t="shared" si="46"/>
        <v>2026-W14</v>
      </c>
      <c r="Q457" t="str">
        <f t="shared" si="47"/>
        <v>Fri</v>
      </c>
    </row>
    <row r="458" spans="1:17" x14ac:dyDescent="0.3">
      <c r="A458" s="2">
        <v>46115</v>
      </c>
      <c r="B458" s="3" t="s">
        <v>504</v>
      </c>
      <c r="C458" s="3" t="s">
        <v>25</v>
      </c>
      <c r="D458" s="3" t="s">
        <v>26</v>
      </c>
      <c r="E458" s="3" t="s">
        <v>41</v>
      </c>
      <c r="F458" s="3" t="s">
        <v>21</v>
      </c>
      <c r="G458" s="3">
        <v>102</v>
      </c>
      <c r="H458" s="4">
        <v>4796</v>
      </c>
      <c r="I458" s="4">
        <v>4400</v>
      </c>
      <c r="J458" s="3" t="s">
        <v>22</v>
      </c>
      <c r="K458" s="3" t="s">
        <v>36</v>
      </c>
      <c r="L458">
        <f t="shared" si="45"/>
        <v>2026</v>
      </c>
      <c r="M458">
        <f t="shared" si="42"/>
        <v>4</v>
      </c>
      <c r="N458" t="str">
        <f t="shared" si="43"/>
        <v>Apr</v>
      </c>
      <c r="O458" t="str">
        <f t="shared" si="44"/>
        <v>2026-04</v>
      </c>
      <c r="P458" t="str">
        <f t="shared" si="46"/>
        <v>2026-W14</v>
      </c>
      <c r="Q458" t="str">
        <f t="shared" si="47"/>
        <v>Fri</v>
      </c>
    </row>
    <row r="459" spans="1:17" x14ac:dyDescent="0.3">
      <c r="A459" s="2">
        <v>46116</v>
      </c>
      <c r="B459" s="3" t="s">
        <v>505</v>
      </c>
      <c r="C459" s="3" t="s">
        <v>38</v>
      </c>
      <c r="D459" s="3" t="s">
        <v>13</v>
      </c>
      <c r="E459" s="3" t="s">
        <v>48</v>
      </c>
      <c r="F459" s="3" t="s">
        <v>15</v>
      </c>
      <c r="G459" s="3">
        <v>100</v>
      </c>
      <c r="H459" s="4">
        <v>6626</v>
      </c>
      <c r="I459" s="4">
        <v>7400</v>
      </c>
      <c r="J459" s="3" t="s">
        <v>22</v>
      </c>
      <c r="K459" s="3" t="s">
        <v>30</v>
      </c>
      <c r="L459">
        <f t="shared" si="45"/>
        <v>2026</v>
      </c>
      <c r="M459">
        <f t="shared" si="42"/>
        <v>4</v>
      </c>
      <c r="N459" t="str">
        <f t="shared" si="43"/>
        <v>Apr</v>
      </c>
      <c r="O459" t="str">
        <f t="shared" si="44"/>
        <v>2026-04</v>
      </c>
      <c r="P459" t="str">
        <f t="shared" si="46"/>
        <v>2026-W14</v>
      </c>
      <c r="Q459" t="str">
        <f t="shared" si="47"/>
        <v>Sat</v>
      </c>
    </row>
    <row r="460" spans="1:17" x14ac:dyDescent="0.3">
      <c r="A460" s="2">
        <v>46116</v>
      </c>
      <c r="B460" s="3" t="s">
        <v>506</v>
      </c>
      <c r="C460" s="3" t="s">
        <v>43</v>
      </c>
      <c r="D460" s="3" t="s">
        <v>26</v>
      </c>
      <c r="E460" s="3" t="s">
        <v>20</v>
      </c>
      <c r="F460" s="3" t="s">
        <v>21</v>
      </c>
      <c r="G460" s="3">
        <v>83</v>
      </c>
      <c r="H460" s="4">
        <v>3570</v>
      </c>
      <c r="I460" s="4">
        <v>3500</v>
      </c>
      <c r="J460" s="3" t="s">
        <v>22</v>
      </c>
      <c r="K460" s="3" t="s">
        <v>36</v>
      </c>
      <c r="L460">
        <f t="shared" si="45"/>
        <v>2026</v>
      </c>
      <c r="M460">
        <f t="shared" si="42"/>
        <v>4</v>
      </c>
      <c r="N460" t="str">
        <f t="shared" si="43"/>
        <v>Apr</v>
      </c>
      <c r="O460" t="str">
        <f t="shared" si="44"/>
        <v>2026-04</v>
      </c>
      <c r="P460" t="str">
        <f t="shared" si="46"/>
        <v>2026-W14</v>
      </c>
      <c r="Q460" t="str">
        <f t="shared" si="47"/>
        <v>Sat</v>
      </c>
    </row>
    <row r="461" spans="1:17" x14ac:dyDescent="0.3">
      <c r="A461" s="2">
        <v>46116</v>
      </c>
      <c r="B461" s="3" t="s">
        <v>507</v>
      </c>
      <c r="C461" s="3" t="s">
        <v>12</v>
      </c>
      <c r="D461" s="3" t="s">
        <v>26</v>
      </c>
      <c r="E461" s="3" t="s">
        <v>29</v>
      </c>
      <c r="F461" s="3" t="s">
        <v>21</v>
      </c>
      <c r="G461" s="3">
        <v>66</v>
      </c>
      <c r="H461" s="4">
        <v>2404</v>
      </c>
      <c r="I461" s="4">
        <v>2100</v>
      </c>
      <c r="J461" s="3" t="s">
        <v>22</v>
      </c>
      <c r="K461" s="3" t="s">
        <v>17</v>
      </c>
      <c r="L461">
        <f t="shared" si="45"/>
        <v>2026</v>
      </c>
      <c r="M461">
        <f t="shared" si="42"/>
        <v>4</v>
      </c>
      <c r="N461" t="str">
        <f t="shared" si="43"/>
        <v>Apr</v>
      </c>
      <c r="O461" t="str">
        <f t="shared" si="44"/>
        <v>2026-04</v>
      </c>
      <c r="P461" t="str">
        <f t="shared" si="46"/>
        <v>2026-W14</v>
      </c>
      <c r="Q461" t="str">
        <f t="shared" si="47"/>
        <v>Sat</v>
      </c>
    </row>
    <row r="462" spans="1:17" x14ac:dyDescent="0.3">
      <c r="A462" s="2">
        <v>46116</v>
      </c>
      <c r="B462" s="3" t="s">
        <v>508</v>
      </c>
      <c r="C462" s="3" t="s">
        <v>57</v>
      </c>
      <c r="D462" s="3" t="s">
        <v>26</v>
      </c>
      <c r="E462" s="3" t="s">
        <v>44</v>
      </c>
      <c r="F462" s="3" t="s">
        <v>34</v>
      </c>
      <c r="G462" s="3">
        <v>82</v>
      </c>
      <c r="H462" s="4">
        <v>5580</v>
      </c>
      <c r="I462" s="4">
        <v>5600</v>
      </c>
      <c r="J462" s="3" t="s">
        <v>22</v>
      </c>
      <c r="K462" s="3" t="s">
        <v>23</v>
      </c>
      <c r="L462">
        <f t="shared" si="45"/>
        <v>2026</v>
      </c>
      <c r="M462">
        <f t="shared" si="42"/>
        <v>4</v>
      </c>
      <c r="N462" t="str">
        <f t="shared" si="43"/>
        <v>Apr</v>
      </c>
      <c r="O462" t="str">
        <f t="shared" si="44"/>
        <v>2026-04</v>
      </c>
      <c r="P462" t="str">
        <f t="shared" si="46"/>
        <v>2026-W14</v>
      </c>
      <c r="Q462" t="str">
        <f t="shared" si="47"/>
        <v>Sat</v>
      </c>
    </row>
    <row r="463" spans="1:17" x14ac:dyDescent="0.3">
      <c r="A463" s="2">
        <v>46117</v>
      </c>
      <c r="B463" s="3" t="s">
        <v>509</v>
      </c>
      <c r="C463" s="3" t="s">
        <v>43</v>
      </c>
      <c r="D463" s="3" t="s">
        <v>26</v>
      </c>
      <c r="E463" s="3" t="s">
        <v>33</v>
      </c>
      <c r="F463" s="3" t="s">
        <v>34</v>
      </c>
      <c r="G463" s="3">
        <v>71</v>
      </c>
      <c r="H463" s="4">
        <v>4901</v>
      </c>
      <c r="I463" s="4">
        <v>5200</v>
      </c>
      <c r="J463" s="3" t="s">
        <v>22</v>
      </c>
      <c r="K463" s="3" t="s">
        <v>17</v>
      </c>
      <c r="L463">
        <f t="shared" si="45"/>
        <v>2026</v>
      </c>
      <c r="M463">
        <f t="shared" si="42"/>
        <v>4</v>
      </c>
      <c r="N463" t="str">
        <f t="shared" si="43"/>
        <v>Apr</v>
      </c>
      <c r="O463" t="str">
        <f t="shared" si="44"/>
        <v>2026-04</v>
      </c>
      <c r="P463" t="str">
        <f t="shared" si="46"/>
        <v>2026-W14</v>
      </c>
      <c r="Q463" t="str">
        <f t="shared" si="47"/>
        <v>Sun</v>
      </c>
    </row>
    <row r="464" spans="1:17" x14ac:dyDescent="0.3">
      <c r="A464" s="2">
        <v>46117</v>
      </c>
      <c r="B464" s="3" t="s">
        <v>510</v>
      </c>
      <c r="C464" s="3" t="s">
        <v>50</v>
      </c>
      <c r="D464" s="3" t="s">
        <v>26</v>
      </c>
      <c r="E464" s="3" t="s">
        <v>14</v>
      </c>
      <c r="F464" s="3" t="s">
        <v>15</v>
      </c>
      <c r="G464" s="3">
        <v>59</v>
      </c>
      <c r="H464" s="4">
        <v>3403</v>
      </c>
      <c r="I464" s="4">
        <v>3300</v>
      </c>
      <c r="J464" s="3" t="s">
        <v>16</v>
      </c>
      <c r="K464" s="3" t="s">
        <v>30</v>
      </c>
      <c r="L464">
        <f t="shared" si="45"/>
        <v>2026</v>
      </c>
      <c r="M464">
        <f t="shared" si="42"/>
        <v>4</v>
      </c>
      <c r="N464" t="str">
        <f t="shared" si="43"/>
        <v>Apr</v>
      </c>
      <c r="O464" t="str">
        <f t="shared" si="44"/>
        <v>2026-04</v>
      </c>
      <c r="P464" t="str">
        <f t="shared" si="46"/>
        <v>2026-W14</v>
      </c>
      <c r="Q464" t="str">
        <f t="shared" si="47"/>
        <v>Sun</v>
      </c>
    </row>
    <row r="465" spans="1:17" x14ac:dyDescent="0.3">
      <c r="A465" s="2">
        <v>46117</v>
      </c>
      <c r="B465" s="3" t="s">
        <v>511</v>
      </c>
      <c r="C465" s="3" t="s">
        <v>25</v>
      </c>
      <c r="D465" s="3" t="s">
        <v>26</v>
      </c>
      <c r="E465" s="3" t="s">
        <v>14</v>
      </c>
      <c r="F465" s="3" t="s">
        <v>15</v>
      </c>
      <c r="G465" s="3">
        <v>49</v>
      </c>
      <c r="H465" s="4">
        <v>2382</v>
      </c>
      <c r="I465" s="4">
        <v>1900</v>
      </c>
      <c r="J465" s="3" t="s">
        <v>22</v>
      </c>
      <c r="K465" s="3" t="s">
        <v>30</v>
      </c>
      <c r="L465">
        <f t="shared" si="45"/>
        <v>2026</v>
      </c>
      <c r="M465">
        <f t="shared" si="42"/>
        <v>4</v>
      </c>
      <c r="N465" t="str">
        <f t="shared" si="43"/>
        <v>Apr</v>
      </c>
      <c r="O465" t="str">
        <f t="shared" si="44"/>
        <v>2026-04</v>
      </c>
      <c r="P465" t="str">
        <f t="shared" si="46"/>
        <v>2026-W14</v>
      </c>
      <c r="Q465" t="str">
        <f t="shared" si="47"/>
        <v>Sun</v>
      </c>
    </row>
    <row r="466" spans="1:17" x14ac:dyDescent="0.3">
      <c r="A466" s="2">
        <v>46117</v>
      </c>
      <c r="B466" s="3" t="s">
        <v>512</v>
      </c>
      <c r="C466" s="3" t="s">
        <v>91</v>
      </c>
      <c r="D466" s="3" t="s">
        <v>19</v>
      </c>
      <c r="E466" s="3" t="s">
        <v>48</v>
      </c>
      <c r="F466" s="3" t="s">
        <v>15</v>
      </c>
      <c r="G466" s="3">
        <v>99</v>
      </c>
      <c r="H466" s="4">
        <v>5263</v>
      </c>
      <c r="I466" s="4">
        <v>4300</v>
      </c>
      <c r="J466" s="3" t="s">
        <v>22</v>
      </c>
      <c r="K466" s="3" t="s">
        <v>23</v>
      </c>
      <c r="L466">
        <f t="shared" si="45"/>
        <v>2026</v>
      </c>
      <c r="M466">
        <f t="shared" si="42"/>
        <v>4</v>
      </c>
      <c r="N466" t="str">
        <f t="shared" si="43"/>
        <v>Apr</v>
      </c>
      <c r="O466" t="str">
        <f t="shared" si="44"/>
        <v>2026-04</v>
      </c>
      <c r="P466" t="str">
        <f t="shared" si="46"/>
        <v>2026-W14</v>
      </c>
      <c r="Q466" t="str">
        <f t="shared" si="47"/>
        <v>Sun</v>
      </c>
    </row>
    <row r="467" spans="1:17" x14ac:dyDescent="0.3">
      <c r="A467" s="2">
        <v>46117</v>
      </c>
      <c r="B467" s="3" t="s">
        <v>513</v>
      </c>
      <c r="C467" s="3" t="s">
        <v>43</v>
      </c>
      <c r="D467" s="3" t="s">
        <v>26</v>
      </c>
      <c r="E467" s="3" t="s">
        <v>61</v>
      </c>
      <c r="F467" s="3" t="s">
        <v>59</v>
      </c>
      <c r="G467" s="3">
        <v>31</v>
      </c>
      <c r="H467" s="4">
        <v>3390</v>
      </c>
      <c r="I467" s="4">
        <v>3800</v>
      </c>
      <c r="J467" s="3" t="s">
        <v>16</v>
      </c>
      <c r="K467" s="3" t="s">
        <v>36</v>
      </c>
      <c r="L467">
        <f t="shared" si="45"/>
        <v>2026</v>
      </c>
      <c r="M467">
        <f t="shared" si="42"/>
        <v>4</v>
      </c>
      <c r="N467" t="str">
        <f t="shared" si="43"/>
        <v>Apr</v>
      </c>
      <c r="O467" t="str">
        <f t="shared" si="44"/>
        <v>2026-04</v>
      </c>
      <c r="P467" t="str">
        <f t="shared" si="46"/>
        <v>2026-W14</v>
      </c>
      <c r="Q467" t="str">
        <f t="shared" si="47"/>
        <v>Sun</v>
      </c>
    </row>
    <row r="468" spans="1:17" x14ac:dyDescent="0.3">
      <c r="A468" s="2">
        <v>46118</v>
      </c>
      <c r="B468" s="3" t="s">
        <v>514</v>
      </c>
      <c r="C468" s="3" t="s">
        <v>38</v>
      </c>
      <c r="D468" s="3" t="s">
        <v>13</v>
      </c>
      <c r="E468" s="3" t="s">
        <v>41</v>
      </c>
      <c r="F468" s="3" t="s">
        <v>21</v>
      </c>
      <c r="G468" s="3">
        <v>20</v>
      </c>
      <c r="H468" s="4">
        <v>949</v>
      </c>
      <c r="I468" s="4">
        <v>800</v>
      </c>
      <c r="J468" s="3" t="s">
        <v>22</v>
      </c>
      <c r="K468" s="3" t="s">
        <v>30</v>
      </c>
      <c r="L468">
        <f t="shared" si="45"/>
        <v>2026</v>
      </c>
      <c r="M468">
        <f t="shared" si="42"/>
        <v>4</v>
      </c>
      <c r="N468" t="str">
        <f t="shared" si="43"/>
        <v>Apr</v>
      </c>
      <c r="O468" t="str">
        <f t="shared" si="44"/>
        <v>2026-04</v>
      </c>
      <c r="P468" t="str">
        <f t="shared" si="46"/>
        <v>2026-W15</v>
      </c>
      <c r="Q468" t="str">
        <f t="shared" si="47"/>
        <v>Mon</v>
      </c>
    </row>
    <row r="469" spans="1:17" x14ac:dyDescent="0.3">
      <c r="A469" s="2">
        <v>46118</v>
      </c>
      <c r="B469" s="3" t="s">
        <v>515</v>
      </c>
      <c r="C469" s="3" t="s">
        <v>12</v>
      </c>
      <c r="D469" s="3" t="s">
        <v>19</v>
      </c>
      <c r="E469" s="3" t="s">
        <v>58</v>
      </c>
      <c r="F469" s="3" t="s">
        <v>59</v>
      </c>
      <c r="G469" s="3">
        <v>66</v>
      </c>
      <c r="H469" s="4">
        <v>6236</v>
      </c>
      <c r="I469" s="4">
        <v>5600</v>
      </c>
      <c r="J469" s="3" t="s">
        <v>22</v>
      </c>
      <c r="K469" s="3" t="s">
        <v>36</v>
      </c>
      <c r="L469">
        <f t="shared" si="45"/>
        <v>2026</v>
      </c>
      <c r="M469">
        <f t="shared" si="42"/>
        <v>4</v>
      </c>
      <c r="N469" t="str">
        <f t="shared" si="43"/>
        <v>Apr</v>
      </c>
      <c r="O469" t="str">
        <f t="shared" si="44"/>
        <v>2026-04</v>
      </c>
      <c r="P469" t="str">
        <f t="shared" si="46"/>
        <v>2026-W15</v>
      </c>
      <c r="Q469" t="str">
        <f t="shared" si="47"/>
        <v>Mon</v>
      </c>
    </row>
    <row r="470" spans="1:17" x14ac:dyDescent="0.3">
      <c r="A470" s="2">
        <v>46118</v>
      </c>
      <c r="B470" s="3" t="s">
        <v>516</v>
      </c>
      <c r="C470" s="3" t="s">
        <v>43</v>
      </c>
      <c r="D470" s="3" t="s">
        <v>26</v>
      </c>
      <c r="E470" s="3" t="s">
        <v>68</v>
      </c>
      <c r="F470" s="3" t="s">
        <v>34</v>
      </c>
      <c r="G470" s="3">
        <v>50</v>
      </c>
      <c r="H470" s="4">
        <v>3454</v>
      </c>
      <c r="I470" s="4">
        <v>2900</v>
      </c>
      <c r="J470" s="3" t="s">
        <v>16</v>
      </c>
      <c r="K470" s="3" t="s">
        <v>36</v>
      </c>
      <c r="L470">
        <f t="shared" si="45"/>
        <v>2026</v>
      </c>
      <c r="M470">
        <f t="shared" si="42"/>
        <v>4</v>
      </c>
      <c r="N470" t="str">
        <f t="shared" si="43"/>
        <v>Apr</v>
      </c>
      <c r="O470" t="str">
        <f t="shared" si="44"/>
        <v>2026-04</v>
      </c>
      <c r="P470" t="str">
        <f t="shared" si="46"/>
        <v>2026-W15</v>
      </c>
      <c r="Q470" t="str">
        <f t="shared" si="47"/>
        <v>Mon</v>
      </c>
    </row>
    <row r="471" spans="1:17" x14ac:dyDescent="0.3">
      <c r="A471" s="2">
        <v>46118</v>
      </c>
      <c r="B471" s="3" t="s">
        <v>517</v>
      </c>
      <c r="C471" s="3" t="s">
        <v>32</v>
      </c>
      <c r="D471" s="3" t="s">
        <v>13</v>
      </c>
      <c r="E471" s="3" t="s">
        <v>123</v>
      </c>
      <c r="F471" s="3" t="s">
        <v>59</v>
      </c>
      <c r="G471" s="3">
        <v>95</v>
      </c>
      <c r="H471" s="4">
        <v>9010</v>
      </c>
      <c r="I471" s="4">
        <v>8700</v>
      </c>
      <c r="J471" s="3" t="s">
        <v>22</v>
      </c>
      <c r="K471" s="3" t="s">
        <v>36</v>
      </c>
      <c r="L471">
        <f t="shared" si="45"/>
        <v>2026</v>
      </c>
      <c r="M471">
        <f t="shared" si="42"/>
        <v>4</v>
      </c>
      <c r="N471" t="str">
        <f t="shared" si="43"/>
        <v>Apr</v>
      </c>
      <c r="O471" t="str">
        <f t="shared" si="44"/>
        <v>2026-04</v>
      </c>
      <c r="P471" t="str">
        <f t="shared" si="46"/>
        <v>2026-W15</v>
      </c>
      <c r="Q471" t="str">
        <f t="shared" si="47"/>
        <v>Mon</v>
      </c>
    </row>
    <row r="472" spans="1:17" x14ac:dyDescent="0.3">
      <c r="A472" s="2">
        <v>46118</v>
      </c>
      <c r="B472" s="3" t="s">
        <v>518</v>
      </c>
      <c r="C472" s="3" t="s">
        <v>43</v>
      </c>
      <c r="D472" s="3" t="s">
        <v>65</v>
      </c>
      <c r="E472" s="3" t="s">
        <v>20</v>
      </c>
      <c r="F472" s="3" t="s">
        <v>21</v>
      </c>
      <c r="G472" s="3">
        <v>32</v>
      </c>
      <c r="H472" s="4">
        <v>1489</v>
      </c>
      <c r="I472" s="4">
        <v>1400</v>
      </c>
      <c r="J472" s="3" t="s">
        <v>39</v>
      </c>
      <c r="K472" s="3" t="s">
        <v>36</v>
      </c>
      <c r="L472">
        <f t="shared" si="45"/>
        <v>2026</v>
      </c>
      <c r="M472">
        <f t="shared" si="42"/>
        <v>4</v>
      </c>
      <c r="N472" t="str">
        <f t="shared" si="43"/>
        <v>Apr</v>
      </c>
      <c r="O472" t="str">
        <f t="shared" si="44"/>
        <v>2026-04</v>
      </c>
      <c r="P472" t="str">
        <f t="shared" si="46"/>
        <v>2026-W15</v>
      </c>
      <c r="Q472" t="str">
        <f t="shared" si="47"/>
        <v>Mon</v>
      </c>
    </row>
    <row r="473" spans="1:17" x14ac:dyDescent="0.3">
      <c r="A473" s="2">
        <v>46118</v>
      </c>
      <c r="B473" s="3" t="s">
        <v>519</v>
      </c>
      <c r="C473" s="3" t="s">
        <v>32</v>
      </c>
      <c r="D473" s="3" t="s">
        <v>19</v>
      </c>
      <c r="E473" s="3" t="s">
        <v>14</v>
      </c>
      <c r="F473" s="3" t="s">
        <v>15</v>
      </c>
      <c r="G473" s="3">
        <v>18</v>
      </c>
      <c r="H473" s="4">
        <v>1140</v>
      </c>
      <c r="I473" s="4">
        <v>1100</v>
      </c>
      <c r="J473" s="3" t="s">
        <v>22</v>
      </c>
      <c r="K473" s="3" t="s">
        <v>17</v>
      </c>
      <c r="L473">
        <f t="shared" si="45"/>
        <v>2026</v>
      </c>
      <c r="M473">
        <f t="shared" si="42"/>
        <v>4</v>
      </c>
      <c r="N473" t="str">
        <f t="shared" si="43"/>
        <v>Apr</v>
      </c>
      <c r="O473" t="str">
        <f t="shared" si="44"/>
        <v>2026-04</v>
      </c>
      <c r="P473" t="str">
        <f t="shared" si="46"/>
        <v>2026-W15</v>
      </c>
      <c r="Q473" t="str">
        <f t="shared" si="47"/>
        <v>Mon</v>
      </c>
    </row>
    <row r="474" spans="1:17" x14ac:dyDescent="0.3">
      <c r="A474" s="2">
        <v>46119</v>
      </c>
      <c r="B474" s="3" t="s">
        <v>520</v>
      </c>
      <c r="C474" s="3" t="s">
        <v>43</v>
      </c>
      <c r="D474" s="3" t="s">
        <v>19</v>
      </c>
      <c r="E474" s="3" t="s">
        <v>48</v>
      </c>
      <c r="F474" s="3" t="s">
        <v>15</v>
      </c>
      <c r="G474" s="3">
        <v>53</v>
      </c>
      <c r="H474" s="4">
        <v>3103</v>
      </c>
      <c r="I474" s="4">
        <v>2500</v>
      </c>
      <c r="J474" s="3" t="s">
        <v>16</v>
      </c>
      <c r="K474" s="3" t="s">
        <v>36</v>
      </c>
      <c r="L474">
        <f t="shared" si="45"/>
        <v>2026</v>
      </c>
      <c r="M474">
        <f t="shared" si="42"/>
        <v>4</v>
      </c>
      <c r="N474" t="str">
        <f t="shared" si="43"/>
        <v>Apr</v>
      </c>
      <c r="O474" t="str">
        <f t="shared" si="44"/>
        <v>2026-04</v>
      </c>
      <c r="P474" t="str">
        <f t="shared" si="46"/>
        <v>2026-W15</v>
      </c>
      <c r="Q474" t="str">
        <f t="shared" si="47"/>
        <v>Tue</v>
      </c>
    </row>
    <row r="475" spans="1:17" x14ac:dyDescent="0.3">
      <c r="A475" s="2">
        <v>46119</v>
      </c>
      <c r="B475" s="3" t="s">
        <v>521</v>
      </c>
      <c r="C475" s="3" t="s">
        <v>91</v>
      </c>
      <c r="D475" s="3" t="s">
        <v>26</v>
      </c>
      <c r="E475" s="3" t="s">
        <v>123</v>
      </c>
      <c r="F475" s="3" t="s">
        <v>59</v>
      </c>
      <c r="G475" s="3">
        <v>107</v>
      </c>
      <c r="H475" s="4">
        <v>9791</v>
      </c>
      <c r="I475" s="4">
        <v>7800</v>
      </c>
      <c r="J475" s="3" t="s">
        <v>22</v>
      </c>
      <c r="K475" s="3" t="s">
        <v>36</v>
      </c>
      <c r="L475">
        <f t="shared" si="45"/>
        <v>2026</v>
      </c>
      <c r="M475">
        <f t="shared" si="42"/>
        <v>4</v>
      </c>
      <c r="N475" t="str">
        <f t="shared" si="43"/>
        <v>Apr</v>
      </c>
      <c r="O475" t="str">
        <f t="shared" si="44"/>
        <v>2026-04</v>
      </c>
      <c r="P475" t="str">
        <f t="shared" si="46"/>
        <v>2026-W15</v>
      </c>
      <c r="Q475" t="str">
        <f t="shared" si="47"/>
        <v>Tue</v>
      </c>
    </row>
    <row r="476" spans="1:17" x14ac:dyDescent="0.3">
      <c r="A476" s="2">
        <v>46121</v>
      </c>
      <c r="B476" s="3" t="s">
        <v>522</v>
      </c>
      <c r="C476" s="3" t="s">
        <v>43</v>
      </c>
      <c r="D476" s="3" t="s">
        <v>53</v>
      </c>
      <c r="E476" s="3" t="s">
        <v>48</v>
      </c>
      <c r="F476" s="3" t="s">
        <v>15</v>
      </c>
      <c r="G476" s="3">
        <v>31</v>
      </c>
      <c r="H476" s="4">
        <v>1820</v>
      </c>
      <c r="I476" s="4">
        <v>1500</v>
      </c>
      <c r="J476" s="3" t="s">
        <v>22</v>
      </c>
      <c r="K476" s="3" t="s">
        <v>23</v>
      </c>
      <c r="L476">
        <f t="shared" si="45"/>
        <v>2026</v>
      </c>
      <c r="M476">
        <f t="shared" si="42"/>
        <v>4</v>
      </c>
      <c r="N476" t="str">
        <f t="shared" si="43"/>
        <v>Apr</v>
      </c>
      <c r="O476" t="str">
        <f t="shared" si="44"/>
        <v>2026-04</v>
      </c>
      <c r="P476" t="str">
        <f t="shared" si="46"/>
        <v>2026-W15</v>
      </c>
      <c r="Q476" t="str">
        <f t="shared" si="47"/>
        <v>Thu</v>
      </c>
    </row>
    <row r="477" spans="1:17" x14ac:dyDescent="0.3">
      <c r="A477" s="2">
        <v>46121</v>
      </c>
      <c r="B477" s="3" t="s">
        <v>523</v>
      </c>
      <c r="C477" s="3" t="s">
        <v>50</v>
      </c>
      <c r="D477" s="3" t="s">
        <v>26</v>
      </c>
      <c r="E477" s="3" t="s">
        <v>29</v>
      </c>
      <c r="F477" s="3" t="s">
        <v>21</v>
      </c>
      <c r="G477" s="3">
        <v>20</v>
      </c>
      <c r="H477" s="4">
        <v>693</v>
      </c>
      <c r="I477" s="4">
        <v>800</v>
      </c>
      <c r="J477" s="3" t="s">
        <v>22</v>
      </c>
      <c r="K477" s="3" t="s">
        <v>36</v>
      </c>
      <c r="L477">
        <f t="shared" si="45"/>
        <v>2026</v>
      </c>
      <c r="M477">
        <f t="shared" si="42"/>
        <v>4</v>
      </c>
      <c r="N477" t="str">
        <f t="shared" si="43"/>
        <v>Apr</v>
      </c>
      <c r="O477" t="str">
        <f t="shared" si="44"/>
        <v>2026-04</v>
      </c>
      <c r="P477" t="str">
        <f t="shared" si="46"/>
        <v>2026-W15</v>
      </c>
      <c r="Q477" t="str">
        <f t="shared" si="47"/>
        <v>Thu</v>
      </c>
    </row>
    <row r="478" spans="1:17" x14ac:dyDescent="0.3">
      <c r="A478" s="2">
        <v>46121</v>
      </c>
      <c r="B478" s="3" t="s">
        <v>524</v>
      </c>
      <c r="C478" s="3" t="s">
        <v>43</v>
      </c>
      <c r="D478" s="3" t="s">
        <v>19</v>
      </c>
      <c r="E478" s="3" t="s">
        <v>14</v>
      </c>
      <c r="F478" s="3" t="s">
        <v>15</v>
      </c>
      <c r="G478" s="3">
        <v>81</v>
      </c>
      <c r="H478" s="4">
        <v>5153</v>
      </c>
      <c r="I478" s="4">
        <v>5700</v>
      </c>
      <c r="J478" s="3" t="s">
        <v>22</v>
      </c>
      <c r="K478" s="3" t="s">
        <v>36</v>
      </c>
      <c r="L478">
        <f t="shared" si="45"/>
        <v>2026</v>
      </c>
      <c r="M478">
        <f t="shared" si="42"/>
        <v>4</v>
      </c>
      <c r="N478" t="str">
        <f t="shared" si="43"/>
        <v>Apr</v>
      </c>
      <c r="O478" t="str">
        <f t="shared" si="44"/>
        <v>2026-04</v>
      </c>
      <c r="P478" t="str">
        <f t="shared" si="46"/>
        <v>2026-W15</v>
      </c>
      <c r="Q478" t="str">
        <f t="shared" si="47"/>
        <v>Thu</v>
      </c>
    </row>
    <row r="479" spans="1:17" x14ac:dyDescent="0.3">
      <c r="A479" s="2">
        <v>46121</v>
      </c>
      <c r="B479" s="3" t="s">
        <v>525</v>
      </c>
      <c r="C479" s="3" t="s">
        <v>43</v>
      </c>
      <c r="D479" s="3" t="s">
        <v>65</v>
      </c>
      <c r="E479" s="3" t="s">
        <v>123</v>
      </c>
      <c r="F479" s="3" t="s">
        <v>59</v>
      </c>
      <c r="G479" s="3">
        <v>27</v>
      </c>
      <c r="H479" s="4">
        <v>3228</v>
      </c>
      <c r="I479" s="4">
        <v>3900</v>
      </c>
      <c r="J479" s="3" t="s">
        <v>39</v>
      </c>
      <c r="K479" s="3" t="s">
        <v>36</v>
      </c>
      <c r="L479">
        <f t="shared" si="45"/>
        <v>2026</v>
      </c>
      <c r="M479">
        <f t="shared" si="42"/>
        <v>4</v>
      </c>
      <c r="N479" t="str">
        <f t="shared" si="43"/>
        <v>Apr</v>
      </c>
      <c r="O479" t="str">
        <f t="shared" si="44"/>
        <v>2026-04</v>
      </c>
      <c r="P479" t="str">
        <f t="shared" si="46"/>
        <v>2026-W15</v>
      </c>
      <c r="Q479" t="str">
        <f t="shared" si="47"/>
        <v>Thu</v>
      </c>
    </row>
    <row r="480" spans="1:17" x14ac:dyDescent="0.3">
      <c r="A480" s="2">
        <v>46122</v>
      </c>
      <c r="B480" s="3" t="s">
        <v>526</v>
      </c>
      <c r="C480" s="3" t="s">
        <v>43</v>
      </c>
      <c r="D480" s="3" t="s">
        <v>53</v>
      </c>
      <c r="E480" s="3" t="s">
        <v>27</v>
      </c>
      <c r="F480" s="3" t="s">
        <v>15</v>
      </c>
      <c r="G480" s="3">
        <v>107</v>
      </c>
      <c r="H480" s="4">
        <v>5557</v>
      </c>
      <c r="I480" s="4">
        <v>4700</v>
      </c>
      <c r="J480" s="3" t="s">
        <v>22</v>
      </c>
      <c r="K480" s="3" t="s">
        <v>23</v>
      </c>
      <c r="L480">
        <f t="shared" si="45"/>
        <v>2026</v>
      </c>
      <c r="M480">
        <f t="shared" si="42"/>
        <v>4</v>
      </c>
      <c r="N480" t="str">
        <f t="shared" si="43"/>
        <v>Apr</v>
      </c>
      <c r="O480" t="str">
        <f t="shared" si="44"/>
        <v>2026-04</v>
      </c>
      <c r="P480" t="str">
        <f t="shared" si="46"/>
        <v>2026-W15</v>
      </c>
      <c r="Q480" t="str">
        <f t="shared" si="47"/>
        <v>Fri</v>
      </c>
    </row>
    <row r="481" spans="1:17" x14ac:dyDescent="0.3">
      <c r="A481" s="2">
        <v>46122</v>
      </c>
      <c r="B481" s="3" t="s">
        <v>527</v>
      </c>
      <c r="C481" s="3" t="s">
        <v>50</v>
      </c>
      <c r="D481" s="3" t="s">
        <v>65</v>
      </c>
      <c r="E481" s="3" t="s">
        <v>14</v>
      </c>
      <c r="F481" s="3" t="s">
        <v>15</v>
      </c>
      <c r="G481" s="3">
        <v>12</v>
      </c>
      <c r="H481" s="4">
        <v>752</v>
      </c>
      <c r="I481" s="4">
        <v>900</v>
      </c>
      <c r="J481" s="3" t="s">
        <v>39</v>
      </c>
      <c r="K481" s="3" t="s">
        <v>36</v>
      </c>
      <c r="L481">
        <f t="shared" si="45"/>
        <v>2026</v>
      </c>
      <c r="M481">
        <f t="shared" si="42"/>
        <v>4</v>
      </c>
      <c r="N481" t="str">
        <f t="shared" si="43"/>
        <v>Apr</v>
      </c>
      <c r="O481" t="str">
        <f t="shared" si="44"/>
        <v>2026-04</v>
      </c>
      <c r="P481" t="str">
        <f t="shared" si="46"/>
        <v>2026-W15</v>
      </c>
      <c r="Q481" t="str">
        <f t="shared" si="47"/>
        <v>Fri</v>
      </c>
    </row>
    <row r="482" spans="1:17" x14ac:dyDescent="0.3">
      <c r="A482" s="2">
        <v>46124</v>
      </c>
      <c r="B482" s="3" t="s">
        <v>528</v>
      </c>
      <c r="C482" s="3" t="s">
        <v>43</v>
      </c>
      <c r="D482" s="3" t="s">
        <v>47</v>
      </c>
      <c r="E482" s="3" t="s">
        <v>58</v>
      </c>
      <c r="F482" s="3" t="s">
        <v>59</v>
      </c>
      <c r="G482" s="3">
        <v>87</v>
      </c>
      <c r="H482" s="4">
        <v>8256</v>
      </c>
      <c r="I482" s="4">
        <v>8600</v>
      </c>
      <c r="J482" s="3" t="s">
        <v>39</v>
      </c>
      <c r="K482" s="3" t="s">
        <v>23</v>
      </c>
      <c r="L482">
        <f t="shared" si="45"/>
        <v>2026</v>
      </c>
      <c r="M482">
        <f t="shared" si="42"/>
        <v>4</v>
      </c>
      <c r="N482" t="str">
        <f t="shared" si="43"/>
        <v>Apr</v>
      </c>
      <c r="O482" t="str">
        <f t="shared" si="44"/>
        <v>2026-04</v>
      </c>
      <c r="P482" t="str">
        <f t="shared" si="46"/>
        <v>2026-W15</v>
      </c>
      <c r="Q482" t="str">
        <f t="shared" si="47"/>
        <v>Sun</v>
      </c>
    </row>
    <row r="483" spans="1:17" x14ac:dyDescent="0.3">
      <c r="A483" s="2">
        <v>46125</v>
      </c>
      <c r="B483" s="3" t="s">
        <v>529</v>
      </c>
      <c r="C483" s="3" t="s">
        <v>43</v>
      </c>
      <c r="D483" s="3" t="s">
        <v>47</v>
      </c>
      <c r="E483" s="3" t="s">
        <v>48</v>
      </c>
      <c r="F483" s="3" t="s">
        <v>15</v>
      </c>
      <c r="G483" s="3">
        <v>106</v>
      </c>
      <c r="H483" s="4">
        <v>5904</v>
      </c>
      <c r="I483" s="4">
        <v>6000</v>
      </c>
      <c r="J483" s="3" t="s">
        <v>22</v>
      </c>
      <c r="K483" s="3" t="s">
        <v>36</v>
      </c>
      <c r="L483">
        <f t="shared" si="45"/>
        <v>2026</v>
      </c>
      <c r="M483">
        <f t="shared" si="42"/>
        <v>4</v>
      </c>
      <c r="N483" t="str">
        <f t="shared" si="43"/>
        <v>Apr</v>
      </c>
      <c r="O483" t="str">
        <f t="shared" si="44"/>
        <v>2026-04</v>
      </c>
      <c r="P483" t="str">
        <f t="shared" si="46"/>
        <v>2026-W16</v>
      </c>
      <c r="Q483" t="str">
        <f t="shared" si="47"/>
        <v>Mon</v>
      </c>
    </row>
    <row r="484" spans="1:17" x14ac:dyDescent="0.3">
      <c r="A484" s="2">
        <v>46125</v>
      </c>
      <c r="B484" s="3" t="s">
        <v>530</v>
      </c>
      <c r="C484" s="3" t="s">
        <v>57</v>
      </c>
      <c r="D484" s="3" t="s">
        <v>26</v>
      </c>
      <c r="E484" s="3" t="s">
        <v>61</v>
      </c>
      <c r="F484" s="3" t="s">
        <v>59</v>
      </c>
      <c r="G484" s="3">
        <v>108</v>
      </c>
      <c r="H484" s="4">
        <v>12509</v>
      </c>
      <c r="I484" s="4">
        <v>13700</v>
      </c>
      <c r="J484" s="3" t="s">
        <v>22</v>
      </c>
      <c r="K484" s="3" t="s">
        <v>36</v>
      </c>
      <c r="L484">
        <f t="shared" si="45"/>
        <v>2026</v>
      </c>
      <c r="M484">
        <f t="shared" si="42"/>
        <v>4</v>
      </c>
      <c r="N484" t="str">
        <f t="shared" si="43"/>
        <v>Apr</v>
      </c>
      <c r="O484" t="str">
        <f t="shared" si="44"/>
        <v>2026-04</v>
      </c>
      <c r="P484" t="str">
        <f t="shared" si="46"/>
        <v>2026-W16</v>
      </c>
      <c r="Q484" t="str">
        <f t="shared" si="47"/>
        <v>Mon</v>
      </c>
    </row>
    <row r="485" spans="1:17" x14ac:dyDescent="0.3">
      <c r="A485" s="2">
        <v>46126</v>
      </c>
      <c r="B485" s="3" t="s">
        <v>531</v>
      </c>
      <c r="C485" s="3" t="s">
        <v>12</v>
      </c>
      <c r="D485" s="3" t="s">
        <v>26</v>
      </c>
      <c r="E485" s="3" t="s">
        <v>48</v>
      </c>
      <c r="F485" s="3" t="s">
        <v>15</v>
      </c>
      <c r="G485" s="3">
        <v>98</v>
      </c>
      <c r="H485" s="4">
        <v>5389</v>
      </c>
      <c r="I485" s="4">
        <v>5200</v>
      </c>
      <c r="J485" s="3" t="s">
        <v>16</v>
      </c>
      <c r="K485" s="3" t="s">
        <v>36</v>
      </c>
      <c r="L485">
        <f t="shared" si="45"/>
        <v>2026</v>
      </c>
      <c r="M485">
        <f t="shared" si="42"/>
        <v>4</v>
      </c>
      <c r="N485" t="str">
        <f t="shared" si="43"/>
        <v>Apr</v>
      </c>
      <c r="O485" t="str">
        <f t="shared" si="44"/>
        <v>2026-04</v>
      </c>
      <c r="P485" t="str">
        <f t="shared" si="46"/>
        <v>2026-W16</v>
      </c>
      <c r="Q485" t="str">
        <f t="shared" si="47"/>
        <v>Tue</v>
      </c>
    </row>
    <row r="486" spans="1:17" x14ac:dyDescent="0.3">
      <c r="A486" s="2">
        <v>46126</v>
      </c>
      <c r="B486" s="3" t="s">
        <v>532</v>
      </c>
      <c r="C486" s="3" t="s">
        <v>25</v>
      </c>
      <c r="D486" s="3" t="s">
        <v>65</v>
      </c>
      <c r="E486" s="3" t="s">
        <v>27</v>
      </c>
      <c r="F486" s="3" t="s">
        <v>15</v>
      </c>
      <c r="G486" s="3">
        <v>67</v>
      </c>
      <c r="H486" s="4">
        <v>3628</v>
      </c>
      <c r="I486" s="4">
        <v>4200</v>
      </c>
      <c r="J486" s="3" t="s">
        <v>22</v>
      </c>
      <c r="K486" s="3" t="s">
        <v>36</v>
      </c>
      <c r="L486">
        <f t="shared" si="45"/>
        <v>2026</v>
      </c>
      <c r="M486">
        <f t="shared" si="42"/>
        <v>4</v>
      </c>
      <c r="N486" t="str">
        <f t="shared" si="43"/>
        <v>Apr</v>
      </c>
      <c r="O486" t="str">
        <f t="shared" si="44"/>
        <v>2026-04</v>
      </c>
      <c r="P486" t="str">
        <f t="shared" si="46"/>
        <v>2026-W16</v>
      </c>
      <c r="Q486" t="str">
        <f t="shared" si="47"/>
        <v>Tue</v>
      </c>
    </row>
    <row r="487" spans="1:17" x14ac:dyDescent="0.3">
      <c r="A487" s="2">
        <v>46126</v>
      </c>
      <c r="B487" s="3" t="s">
        <v>533</v>
      </c>
      <c r="C487" s="3" t="s">
        <v>25</v>
      </c>
      <c r="D487" s="3" t="s">
        <v>65</v>
      </c>
      <c r="E487" s="3" t="s">
        <v>14</v>
      </c>
      <c r="F487" s="3" t="s">
        <v>15</v>
      </c>
      <c r="G487" s="3">
        <v>109</v>
      </c>
      <c r="H487" s="4">
        <v>5980</v>
      </c>
      <c r="I487" s="4">
        <v>6300</v>
      </c>
      <c r="J487" s="3" t="s">
        <v>39</v>
      </c>
      <c r="K487" s="3" t="s">
        <v>30</v>
      </c>
      <c r="L487">
        <f t="shared" si="45"/>
        <v>2026</v>
      </c>
      <c r="M487">
        <f t="shared" si="42"/>
        <v>4</v>
      </c>
      <c r="N487" t="str">
        <f t="shared" si="43"/>
        <v>Apr</v>
      </c>
      <c r="O487" t="str">
        <f t="shared" si="44"/>
        <v>2026-04</v>
      </c>
      <c r="P487" t="str">
        <f t="shared" si="46"/>
        <v>2026-W16</v>
      </c>
      <c r="Q487" t="str">
        <f t="shared" si="47"/>
        <v>Tue</v>
      </c>
    </row>
    <row r="488" spans="1:17" x14ac:dyDescent="0.3">
      <c r="A488" s="2">
        <v>46126</v>
      </c>
      <c r="B488" s="3" t="s">
        <v>534</v>
      </c>
      <c r="C488" s="3" t="s">
        <v>50</v>
      </c>
      <c r="D488" s="3" t="s">
        <v>53</v>
      </c>
      <c r="E488" s="3" t="s">
        <v>20</v>
      </c>
      <c r="F488" s="3" t="s">
        <v>21</v>
      </c>
      <c r="G488" s="3">
        <v>16</v>
      </c>
      <c r="H488" s="4">
        <v>713</v>
      </c>
      <c r="I488" s="4">
        <v>600</v>
      </c>
      <c r="J488" s="3" t="s">
        <v>22</v>
      </c>
      <c r="K488" s="3" t="s">
        <v>36</v>
      </c>
      <c r="L488">
        <f t="shared" si="45"/>
        <v>2026</v>
      </c>
      <c r="M488">
        <f t="shared" si="42"/>
        <v>4</v>
      </c>
      <c r="N488" t="str">
        <f t="shared" si="43"/>
        <v>Apr</v>
      </c>
      <c r="O488" t="str">
        <f t="shared" si="44"/>
        <v>2026-04</v>
      </c>
      <c r="P488" t="str">
        <f t="shared" si="46"/>
        <v>2026-W16</v>
      </c>
      <c r="Q488" t="str">
        <f t="shared" si="47"/>
        <v>Tue</v>
      </c>
    </row>
    <row r="489" spans="1:17" x14ac:dyDescent="0.3">
      <c r="A489" s="2">
        <v>46126</v>
      </c>
      <c r="B489" s="3" t="s">
        <v>535</v>
      </c>
      <c r="C489" s="3" t="s">
        <v>38</v>
      </c>
      <c r="D489" s="3" t="s">
        <v>53</v>
      </c>
      <c r="E489" s="3" t="s">
        <v>61</v>
      </c>
      <c r="F489" s="3" t="s">
        <v>59</v>
      </c>
      <c r="G489" s="3">
        <v>49</v>
      </c>
      <c r="H489" s="4">
        <v>4550</v>
      </c>
      <c r="I489" s="4">
        <v>4600</v>
      </c>
      <c r="J489" s="3" t="s">
        <v>22</v>
      </c>
      <c r="K489" s="3" t="s">
        <v>17</v>
      </c>
      <c r="L489">
        <f t="shared" si="45"/>
        <v>2026</v>
      </c>
      <c r="M489">
        <f t="shared" si="42"/>
        <v>4</v>
      </c>
      <c r="N489" t="str">
        <f t="shared" si="43"/>
        <v>Apr</v>
      </c>
      <c r="O489" t="str">
        <f t="shared" si="44"/>
        <v>2026-04</v>
      </c>
      <c r="P489" t="str">
        <f t="shared" si="46"/>
        <v>2026-W16</v>
      </c>
      <c r="Q489" t="str">
        <f t="shared" si="47"/>
        <v>Tue</v>
      </c>
    </row>
    <row r="490" spans="1:17" x14ac:dyDescent="0.3">
      <c r="A490" s="2">
        <v>46128</v>
      </c>
      <c r="B490" s="3" t="s">
        <v>536</v>
      </c>
      <c r="C490" s="3" t="s">
        <v>50</v>
      </c>
      <c r="D490" s="3" t="s">
        <v>53</v>
      </c>
      <c r="E490" s="3" t="s">
        <v>48</v>
      </c>
      <c r="F490" s="3" t="s">
        <v>15</v>
      </c>
      <c r="G490" s="3">
        <v>38</v>
      </c>
      <c r="H490" s="4">
        <v>2452</v>
      </c>
      <c r="I490" s="4">
        <v>2600</v>
      </c>
      <c r="J490" s="3" t="s">
        <v>22</v>
      </c>
      <c r="K490" s="3" t="s">
        <v>30</v>
      </c>
      <c r="L490">
        <f t="shared" si="45"/>
        <v>2026</v>
      </c>
      <c r="M490">
        <f t="shared" si="42"/>
        <v>4</v>
      </c>
      <c r="N490" t="str">
        <f t="shared" si="43"/>
        <v>Apr</v>
      </c>
      <c r="O490" t="str">
        <f t="shared" si="44"/>
        <v>2026-04</v>
      </c>
      <c r="P490" t="str">
        <f t="shared" si="46"/>
        <v>2026-W16</v>
      </c>
      <c r="Q490" t="str">
        <f t="shared" si="47"/>
        <v>Thu</v>
      </c>
    </row>
    <row r="491" spans="1:17" x14ac:dyDescent="0.3">
      <c r="A491" s="2">
        <v>46128</v>
      </c>
      <c r="B491" s="3" t="s">
        <v>537</v>
      </c>
      <c r="C491" s="3" t="s">
        <v>57</v>
      </c>
      <c r="D491" s="3" t="s">
        <v>26</v>
      </c>
      <c r="E491" s="3" t="s">
        <v>123</v>
      </c>
      <c r="F491" s="3" t="s">
        <v>59</v>
      </c>
      <c r="G491" s="3">
        <v>11</v>
      </c>
      <c r="H491" s="4">
        <v>1161</v>
      </c>
      <c r="I491" s="4">
        <v>1100</v>
      </c>
      <c r="J491" s="3" t="s">
        <v>16</v>
      </c>
      <c r="K491" s="3" t="s">
        <v>36</v>
      </c>
      <c r="L491">
        <f t="shared" si="45"/>
        <v>2026</v>
      </c>
      <c r="M491">
        <f t="shared" si="42"/>
        <v>4</v>
      </c>
      <c r="N491" t="str">
        <f t="shared" si="43"/>
        <v>Apr</v>
      </c>
      <c r="O491" t="str">
        <f t="shared" si="44"/>
        <v>2026-04</v>
      </c>
      <c r="P491" t="str">
        <f t="shared" si="46"/>
        <v>2026-W16</v>
      </c>
      <c r="Q491" t="str">
        <f t="shared" si="47"/>
        <v>Thu</v>
      </c>
    </row>
    <row r="492" spans="1:17" x14ac:dyDescent="0.3">
      <c r="A492" s="2">
        <v>46129</v>
      </c>
      <c r="B492" s="3" t="s">
        <v>538</v>
      </c>
      <c r="C492" s="3" t="s">
        <v>32</v>
      </c>
      <c r="D492" s="3" t="s">
        <v>26</v>
      </c>
      <c r="E492" s="3" t="s">
        <v>61</v>
      </c>
      <c r="F492" s="3" t="s">
        <v>59</v>
      </c>
      <c r="G492" s="3">
        <v>52</v>
      </c>
      <c r="H492" s="4">
        <v>6019</v>
      </c>
      <c r="I492" s="4">
        <v>6000</v>
      </c>
      <c r="J492" s="3" t="s">
        <v>22</v>
      </c>
      <c r="K492" s="3" t="s">
        <v>17</v>
      </c>
      <c r="L492">
        <f t="shared" si="45"/>
        <v>2026</v>
      </c>
      <c r="M492">
        <f t="shared" si="42"/>
        <v>4</v>
      </c>
      <c r="N492" t="str">
        <f t="shared" si="43"/>
        <v>Apr</v>
      </c>
      <c r="O492" t="str">
        <f t="shared" si="44"/>
        <v>2026-04</v>
      </c>
      <c r="P492" t="str">
        <f t="shared" si="46"/>
        <v>2026-W16</v>
      </c>
      <c r="Q492" t="str">
        <f t="shared" si="47"/>
        <v>Fri</v>
      </c>
    </row>
    <row r="493" spans="1:17" x14ac:dyDescent="0.3">
      <c r="A493" s="2">
        <v>46129</v>
      </c>
      <c r="B493" s="3" t="s">
        <v>539</v>
      </c>
      <c r="C493" s="3" t="s">
        <v>12</v>
      </c>
      <c r="D493" s="3" t="s">
        <v>53</v>
      </c>
      <c r="E493" s="3" t="s">
        <v>68</v>
      </c>
      <c r="F493" s="3" t="s">
        <v>34</v>
      </c>
      <c r="G493" s="3">
        <v>55</v>
      </c>
      <c r="H493" s="4">
        <v>3006</v>
      </c>
      <c r="I493" s="4">
        <v>3400</v>
      </c>
      <c r="J493" s="3" t="s">
        <v>22</v>
      </c>
      <c r="K493" s="3" t="s">
        <v>36</v>
      </c>
      <c r="L493">
        <f t="shared" si="45"/>
        <v>2026</v>
      </c>
      <c r="M493">
        <f t="shared" si="42"/>
        <v>4</v>
      </c>
      <c r="N493" t="str">
        <f t="shared" si="43"/>
        <v>Apr</v>
      </c>
      <c r="O493" t="str">
        <f t="shared" si="44"/>
        <v>2026-04</v>
      </c>
      <c r="P493" t="str">
        <f t="shared" si="46"/>
        <v>2026-W16</v>
      </c>
      <c r="Q493" t="str">
        <f t="shared" si="47"/>
        <v>Fri</v>
      </c>
    </row>
    <row r="494" spans="1:17" x14ac:dyDescent="0.3">
      <c r="A494" s="2">
        <v>46129</v>
      </c>
      <c r="B494" s="3" t="s">
        <v>540</v>
      </c>
      <c r="C494" s="3" t="s">
        <v>32</v>
      </c>
      <c r="D494" s="3" t="s">
        <v>13</v>
      </c>
      <c r="E494" s="3" t="s">
        <v>20</v>
      </c>
      <c r="F494" s="3" t="s">
        <v>21</v>
      </c>
      <c r="G494" s="3">
        <v>15</v>
      </c>
      <c r="H494" s="4">
        <v>660</v>
      </c>
      <c r="I494" s="4">
        <v>800</v>
      </c>
      <c r="J494" s="3" t="s">
        <v>22</v>
      </c>
      <c r="K494" s="3" t="s">
        <v>36</v>
      </c>
      <c r="L494">
        <f t="shared" si="45"/>
        <v>2026</v>
      </c>
      <c r="M494">
        <f t="shared" si="42"/>
        <v>4</v>
      </c>
      <c r="N494" t="str">
        <f t="shared" si="43"/>
        <v>Apr</v>
      </c>
      <c r="O494" t="str">
        <f t="shared" si="44"/>
        <v>2026-04</v>
      </c>
      <c r="P494" t="str">
        <f t="shared" si="46"/>
        <v>2026-W16</v>
      </c>
      <c r="Q494" t="str">
        <f t="shared" si="47"/>
        <v>Fri</v>
      </c>
    </row>
    <row r="495" spans="1:17" x14ac:dyDescent="0.3">
      <c r="A495" s="2">
        <v>46129</v>
      </c>
      <c r="B495" s="3" t="s">
        <v>541</v>
      </c>
      <c r="C495" s="3" t="s">
        <v>43</v>
      </c>
      <c r="D495" s="3" t="s">
        <v>53</v>
      </c>
      <c r="E495" s="3" t="s">
        <v>61</v>
      </c>
      <c r="F495" s="3" t="s">
        <v>59</v>
      </c>
      <c r="G495" s="3">
        <v>37</v>
      </c>
      <c r="H495" s="4">
        <v>3727</v>
      </c>
      <c r="I495" s="4">
        <v>4000</v>
      </c>
      <c r="J495" s="3" t="s">
        <v>22</v>
      </c>
      <c r="K495" s="3" t="s">
        <v>17</v>
      </c>
      <c r="L495">
        <f t="shared" si="45"/>
        <v>2026</v>
      </c>
      <c r="M495">
        <f t="shared" si="42"/>
        <v>4</v>
      </c>
      <c r="N495" t="str">
        <f t="shared" si="43"/>
        <v>Apr</v>
      </c>
      <c r="O495" t="str">
        <f t="shared" si="44"/>
        <v>2026-04</v>
      </c>
      <c r="P495" t="str">
        <f t="shared" si="46"/>
        <v>2026-W16</v>
      </c>
      <c r="Q495" t="str">
        <f t="shared" si="47"/>
        <v>Fri</v>
      </c>
    </row>
    <row r="496" spans="1:17" x14ac:dyDescent="0.3">
      <c r="A496" s="2">
        <v>46130</v>
      </c>
      <c r="B496" s="3" t="s">
        <v>542</v>
      </c>
      <c r="C496" s="3" t="s">
        <v>12</v>
      </c>
      <c r="D496" s="3" t="s">
        <v>47</v>
      </c>
      <c r="E496" s="3" t="s">
        <v>27</v>
      </c>
      <c r="F496" s="3" t="s">
        <v>15</v>
      </c>
      <c r="G496" s="3">
        <v>91</v>
      </c>
      <c r="H496" s="4">
        <v>6022</v>
      </c>
      <c r="I496" s="4">
        <v>6300</v>
      </c>
      <c r="J496" s="3" t="s">
        <v>22</v>
      </c>
      <c r="K496" s="3" t="s">
        <v>36</v>
      </c>
      <c r="L496">
        <f t="shared" si="45"/>
        <v>2026</v>
      </c>
      <c r="M496">
        <f t="shared" si="42"/>
        <v>4</v>
      </c>
      <c r="N496" t="str">
        <f t="shared" si="43"/>
        <v>Apr</v>
      </c>
      <c r="O496" t="str">
        <f t="shared" si="44"/>
        <v>2026-04</v>
      </c>
      <c r="P496" t="str">
        <f t="shared" si="46"/>
        <v>2026-W16</v>
      </c>
      <c r="Q496" t="str">
        <f t="shared" si="47"/>
        <v>Sat</v>
      </c>
    </row>
    <row r="497" spans="1:17" x14ac:dyDescent="0.3">
      <c r="A497" s="2">
        <v>46130</v>
      </c>
      <c r="B497" s="3" t="s">
        <v>543</v>
      </c>
      <c r="C497" s="3" t="s">
        <v>57</v>
      </c>
      <c r="D497" s="3" t="s">
        <v>26</v>
      </c>
      <c r="E497" s="3" t="s">
        <v>41</v>
      </c>
      <c r="F497" s="3" t="s">
        <v>21</v>
      </c>
      <c r="G497" s="3">
        <v>6</v>
      </c>
      <c r="H497" s="4">
        <v>236</v>
      </c>
      <c r="I497" s="4">
        <v>200</v>
      </c>
      <c r="J497" s="3" t="s">
        <v>22</v>
      </c>
      <c r="K497" s="3" t="s">
        <v>30</v>
      </c>
      <c r="L497">
        <f t="shared" si="45"/>
        <v>2026</v>
      </c>
      <c r="M497">
        <f t="shared" si="42"/>
        <v>4</v>
      </c>
      <c r="N497" t="str">
        <f t="shared" si="43"/>
        <v>Apr</v>
      </c>
      <c r="O497" t="str">
        <f t="shared" si="44"/>
        <v>2026-04</v>
      </c>
      <c r="P497" t="str">
        <f t="shared" si="46"/>
        <v>2026-W16</v>
      </c>
      <c r="Q497" t="str">
        <f t="shared" si="47"/>
        <v>Sat</v>
      </c>
    </row>
    <row r="498" spans="1:17" x14ac:dyDescent="0.3">
      <c r="A498" s="2">
        <v>46130</v>
      </c>
      <c r="B498" s="3" t="s">
        <v>544</v>
      </c>
      <c r="C498" s="3" t="s">
        <v>43</v>
      </c>
      <c r="D498" s="3" t="s">
        <v>26</v>
      </c>
      <c r="E498" s="3" t="s">
        <v>44</v>
      </c>
      <c r="F498" s="3" t="s">
        <v>34</v>
      </c>
      <c r="G498" s="3">
        <v>96</v>
      </c>
      <c r="H498" s="4">
        <v>5511</v>
      </c>
      <c r="I498" s="4">
        <v>6500</v>
      </c>
      <c r="J498" s="3" t="s">
        <v>22</v>
      </c>
      <c r="K498" s="3" t="s">
        <v>17</v>
      </c>
      <c r="L498">
        <f t="shared" si="45"/>
        <v>2026</v>
      </c>
      <c r="M498">
        <f t="shared" si="42"/>
        <v>4</v>
      </c>
      <c r="N498" t="str">
        <f t="shared" si="43"/>
        <v>Apr</v>
      </c>
      <c r="O498" t="str">
        <f t="shared" si="44"/>
        <v>2026-04</v>
      </c>
      <c r="P498" t="str">
        <f t="shared" si="46"/>
        <v>2026-W16</v>
      </c>
      <c r="Q498" t="str">
        <f t="shared" si="47"/>
        <v>Sat</v>
      </c>
    </row>
    <row r="499" spans="1:17" x14ac:dyDescent="0.3">
      <c r="A499" s="2">
        <v>46130</v>
      </c>
      <c r="B499" s="3" t="s">
        <v>545</v>
      </c>
      <c r="C499" s="3" t="s">
        <v>38</v>
      </c>
      <c r="D499" s="3" t="s">
        <v>53</v>
      </c>
      <c r="E499" s="3" t="s">
        <v>41</v>
      </c>
      <c r="F499" s="3" t="s">
        <v>21</v>
      </c>
      <c r="G499" s="3">
        <v>16</v>
      </c>
      <c r="H499" s="4">
        <v>738</v>
      </c>
      <c r="I499" s="4">
        <v>800</v>
      </c>
      <c r="J499" s="3" t="s">
        <v>39</v>
      </c>
      <c r="K499" s="3" t="s">
        <v>23</v>
      </c>
      <c r="L499">
        <f t="shared" si="45"/>
        <v>2026</v>
      </c>
      <c r="M499">
        <f t="shared" si="42"/>
        <v>4</v>
      </c>
      <c r="N499" t="str">
        <f t="shared" si="43"/>
        <v>Apr</v>
      </c>
      <c r="O499" t="str">
        <f t="shared" si="44"/>
        <v>2026-04</v>
      </c>
      <c r="P499" t="str">
        <f t="shared" si="46"/>
        <v>2026-W16</v>
      </c>
      <c r="Q499" t="str">
        <f t="shared" si="47"/>
        <v>Sat</v>
      </c>
    </row>
    <row r="500" spans="1:17" x14ac:dyDescent="0.3">
      <c r="A500" s="2">
        <v>46131</v>
      </c>
      <c r="B500" s="3" t="s">
        <v>546</v>
      </c>
      <c r="C500" s="3" t="s">
        <v>57</v>
      </c>
      <c r="D500" s="3" t="s">
        <v>47</v>
      </c>
      <c r="E500" s="3" t="s">
        <v>14</v>
      </c>
      <c r="F500" s="3" t="s">
        <v>15</v>
      </c>
      <c r="G500" s="3">
        <v>43</v>
      </c>
      <c r="H500" s="4">
        <v>2373</v>
      </c>
      <c r="I500" s="4">
        <v>2900</v>
      </c>
      <c r="J500" s="3" t="s">
        <v>22</v>
      </c>
      <c r="K500" s="3" t="s">
        <v>30</v>
      </c>
      <c r="L500">
        <f t="shared" si="45"/>
        <v>2026</v>
      </c>
      <c r="M500">
        <f t="shared" si="42"/>
        <v>4</v>
      </c>
      <c r="N500" t="str">
        <f t="shared" si="43"/>
        <v>Apr</v>
      </c>
      <c r="O500" t="str">
        <f t="shared" si="44"/>
        <v>2026-04</v>
      </c>
      <c r="P500" t="str">
        <f t="shared" si="46"/>
        <v>2026-W16</v>
      </c>
      <c r="Q500" t="str">
        <f t="shared" si="47"/>
        <v>Sun</v>
      </c>
    </row>
    <row r="501" spans="1:17" x14ac:dyDescent="0.3">
      <c r="A501" s="2">
        <v>46131</v>
      </c>
      <c r="B501" s="3" t="s">
        <v>547</v>
      </c>
      <c r="C501" s="3" t="s">
        <v>12</v>
      </c>
      <c r="D501" s="3" t="s">
        <v>26</v>
      </c>
      <c r="E501" s="3" t="s">
        <v>27</v>
      </c>
      <c r="F501" s="3" t="s">
        <v>15</v>
      </c>
      <c r="G501" s="3">
        <v>114</v>
      </c>
      <c r="H501" s="4">
        <v>6087</v>
      </c>
      <c r="I501" s="4">
        <v>5800</v>
      </c>
      <c r="J501" s="3" t="s">
        <v>22</v>
      </c>
      <c r="K501" s="3" t="s">
        <v>36</v>
      </c>
      <c r="L501">
        <f t="shared" si="45"/>
        <v>2026</v>
      </c>
      <c r="M501">
        <f t="shared" si="42"/>
        <v>4</v>
      </c>
      <c r="N501" t="str">
        <f t="shared" si="43"/>
        <v>Apr</v>
      </c>
      <c r="O501" t="str">
        <f t="shared" si="44"/>
        <v>2026-04</v>
      </c>
      <c r="P501" t="str">
        <f t="shared" si="46"/>
        <v>2026-W16</v>
      </c>
      <c r="Q501" t="str">
        <f t="shared" si="47"/>
        <v>Sun</v>
      </c>
    </row>
    <row r="502" spans="1:17" x14ac:dyDescent="0.3">
      <c r="A502" s="2">
        <v>46131</v>
      </c>
      <c r="B502" s="3" t="s">
        <v>548</v>
      </c>
      <c r="C502" s="3" t="s">
        <v>25</v>
      </c>
      <c r="D502" s="3" t="s">
        <v>26</v>
      </c>
      <c r="E502" s="3" t="s">
        <v>68</v>
      </c>
      <c r="F502" s="3" t="s">
        <v>34</v>
      </c>
      <c r="G502" s="3">
        <v>58</v>
      </c>
      <c r="H502" s="4">
        <v>3651</v>
      </c>
      <c r="I502" s="4">
        <v>3200</v>
      </c>
      <c r="J502" s="3" t="s">
        <v>22</v>
      </c>
      <c r="K502" s="3" t="s">
        <v>17</v>
      </c>
      <c r="L502">
        <f t="shared" si="45"/>
        <v>2026</v>
      </c>
      <c r="M502">
        <f t="shared" si="42"/>
        <v>4</v>
      </c>
      <c r="N502" t="str">
        <f t="shared" si="43"/>
        <v>Apr</v>
      </c>
      <c r="O502" t="str">
        <f t="shared" si="44"/>
        <v>2026-04</v>
      </c>
      <c r="P502" t="str">
        <f t="shared" si="46"/>
        <v>2026-W16</v>
      </c>
      <c r="Q502" t="str">
        <f t="shared" si="47"/>
        <v>Sun</v>
      </c>
    </row>
    <row r="503" spans="1:17" x14ac:dyDescent="0.3">
      <c r="A503" s="2">
        <v>46131</v>
      </c>
      <c r="B503" s="3" t="s">
        <v>549</v>
      </c>
      <c r="C503" s="3" t="s">
        <v>57</v>
      </c>
      <c r="D503" s="3" t="s">
        <v>26</v>
      </c>
      <c r="E503" s="3" t="s">
        <v>27</v>
      </c>
      <c r="F503" s="3" t="s">
        <v>15</v>
      </c>
      <c r="G503" s="3">
        <v>20</v>
      </c>
      <c r="H503" s="4">
        <v>1293</v>
      </c>
      <c r="I503" s="4">
        <v>1600</v>
      </c>
      <c r="J503" s="3" t="s">
        <v>16</v>
      </c>
      <c r="K503" s="3" t="s">
        <v>30</v>
      </c>
      <c r="L503">
        <f t="shared" si="45"/>
        <v>2026</v>
      </c>
      <c r="M503">
        <f t="shared" si="42"/>
        <v>4</v>
      </c>
      <c r="N503" t="str">
        <f t="shared" si="43"/>
        <v>Apr</v>
      </c>
      <c r="O503" t="str">
        <f t="shared" si="44"/>
        <v>2026-04</v>
      </c>
      <c r="P503" t="str">
        <f t="shared" si="46"/>
        <v>2026-W16</v>
      </c>
      <c r="Q503" t="str">
        <f t="shared" si="47"/>
        <v>Sun</v>
      </c>
    </row>
    <row r="504" spans="1:17" x14ac:dyDescent="0.3">
      <c r="A504" s="2">
        <v>46132</v>
      </c>
      <c r="B504" s="3" t="s">
        <v>550</v>
      </c>
      <c r="C504" s="3" t="s">
        <v>50</v>
      </c>
      <c r="D504" s="3" t="s">
        <v>47</v>
      </c>
      <c r="E504" s="3" t="s">
        <v>44</v>
      </c>
      <c r="F504" s="3" t="s">
        <v>34</v>
      </c>
      <c r="G504" s="3">
        <v>74</v>
      </c>
      <c r="H504" s="4">
        <v>4709</v>
      </c>
      <c r="I504" s="4">
        <v>5200</v>
      </c>
      <c r="J504" s="3" t="s">
        <v>22</v>
      </c>
      <c r="K504" s="3" t="s">
        <v>30</v>
      </c>
      <c r="L504">
        <f t="shared" si="45"/>
        <v>2026</v>
      </c>
      <c r="M504">
        <f t="shared" si="42"/>
        <v>4</v>
      </c>
      <c r="N504" t="str">
        <f t="shared" si="43"/>
        <v>Apr</v>
      </c>
      <c r="O504" t="str">
        <f t="shared" si="44"/>
        <v>2026-04</v>
      </c>
      <c r="P504" t="str">
        <f t="shared" si="46"/>
        <v>2026-W17</v>
      </c>
      <c r="Q504" t="str">
        <f t="shared" si="47"/>
        <v>Mon</v>
      </c>
    </row>
    <row r="505" spans="1:17" x14ac:dyDescent="0.3">
      <c r="A505" s="2">
        <v>46133</v>
      </c>
      <c r="B505" s="3" t="s">
        <v>551</v>
      </c>
      <c r="C505" s="3" t="s">
        <v>57</v>
      </c>
      <c r="D505" s="3" t="s">
        <v>13</v>
      </c>
      <c r="E505" s="3" t="s">
        <v>14</v>
      </c>
      <c r="F505" s="3" t="s">
        <v>15</v>
      </c>
      <c r="G505" s="3">
        <v>78</v>
      </c>
      <c r="H505" s="4">
        <v>4130</v>
      </c>
      <c r="I505" s="4">
        <v>4900</v>
      </c>
      <c r="J505" s="3" t="s">
        <v>22</v>
      </c>
      <c r="K505" s="3" t="s">
        <v>36</v>
      </c>
      <c r="L505">
        <f t="shared" si="45"/>
        <v>2026</v>
      </c>
      <c r="M505">
        <f t="shared" si="42"/>
        <v>4</v>
      </c>
      <c r="N505" t="str">
        <f t="shared" si="43"/>
        <v>Apr</v>
      </c>
      <c r="O505" t="str">
        <f t="shared" si="44"/>
        <v>2026-04</v>
      </c>
      <c r="P505" t="str">
        <f t="shared" si="46"/>
        <v>2026-W17</v>
      </c>
      <c r="Q505" t="str">
        <f t="shared" si="47"/>
        <v>Tue</v>
      </c>
    </row>
    <row r="506" spans="1:17" x14ac:dyDescent="0.3">
      <c r="A506" s="2">
        <v>46133</v>
      </c>
      <c r="B506" s="3" t="s">
        <v>552</v>
      </c>
      <c r="C506" s="3" t="s">
        <v>43</v>
      </c>
      <c r="D506" s="3" t="s">
        <v>53</v>
      </c>
      <c r="E506" s="3" t="s">
        <v>68</v>
      </c>
      <c r="F506" s="3" t="s">
        <v>34</v>
      </c>
      <c r="G506" s="3">
        <v>68</v>
      </c>
      <c r="H506" s="4">
        <v>4657</v>
      </c>
      <c r="I506" s="4">
        <v>5100</v>
      </c>
      <c r="J506" s="3" t="s">
        <v>22</v>
      </c>
      <c r="K506" s="3" t="s">
        <v>36</v>
      </c>
      <c r="L506">
        <f t="shared" si="45"/>
        <v>2026</v>
      </c>
      <c r="M506">
        <f t="shared" si="42"/>
        <v>4</v>
      </c>
      <c r="N506" t="str">
        <f t="shared" si="43"/>
        <v>Apr</v>
      </c>
      <c r="O506" t="str">
        <f t="shared" si="44"/>
        <v>2026-04</v>
      </c>
      <c r="P506" t="str">
        <f t="shared" si="46"/>
        <v>2026-W17</v>
      </c>
      <c r="Q506" t="str">
        <f t="shared" si="47"/>
        <v>Tue</v>
      </c>
    </row>
    <row r="507" spans="1:17" x14ac:dyDescent="0.3">
      <c r="A507" s="2">
        <v>46134</v>
      </c>
      <c r="B507" s="3" t="s">
        <v>553</v>
      </c>
      <c r="C507" s="3" t="s">
        <v>91</v>
      </c>
      <c r="D507" s="3" t="s">
        <v>19</v>
      </c>
      <c r="E507" s="3" t="s">
        <v>44</v>
      </c>
      <c r="F507" s="3" t="s">
        <v>34</v>
      </c>
      <c r="G507" s="3">
        <v>62</v>
      </c>
      <c r="H507" s="4">
        <v>3545</v>
      </c>
      <c r="I507" s="4">
        <v>3400</v>
      </c>
      <c r="J507" s="3" t="s">
        <v>16</v>
      </c>
      <c r="K507" s="3" t="s">
        <v>30</v>
      </c>
      <c r="L507">
        <f t="shared" si="45"/>
        <v>2026</v>
      </c>
      <c r="M507">
        <f t="shared" si="42"/>
        <v>4</v>
      </c>
      <c r="N507" t="str">
        <f t="shared" si="43"/>
        <v>Apr</v>
      </c>
      <c r="O507" t="str">
        <f t="shared" si="44"/>
        <v>2026-04</v>
      </c>
      <c r="P507" t="str">
        <f t="shared" si="46"/>
        <v>2026-W17</v>
      </c>
      <c r="Q507" t="str">
        <f t="shared" si="47"/>
        <v>Wed</v>
      </c>
    </row>
    <row r="508" spans="1:17" x14ac:dyDescent="0.3">
      <c r="A508" s="2">
        <v>46135</v>
      </c>
      <c r="B508" s="3" t="s">
        <v>554</v>
      </c>
      <c r="C508" s="3" t="s">
        <v>32</v>
      </c>
      <c r="D508" s="3" t="s">
        <v>19</v>
      </c>
      <c r="E508" s="3" t="s">
        <v>61</v>
      </c>
      <c r="F508" s="3" t="s">
        <v>59</v>
      </c>
      <c r="G508" s="3">
        <v>54</v>
      </c>
      <c r="H508" s="4">
        <v>6515</v>
      </c>
      <c r="I508" s="4">
        <v>7200</v>
      </c>
      <c r="J508" s="3" t="s">
        <v>22</v>
      </c>
      <c r="K508" s="3" t="s">
        <v>36</v>
      </c>
      <c r="L508">
        <f t="shared" si="45"/>
        <v>2026</v>
      </c>
      <c r="M508">
        <f t="shared" si="42"/>
        <v>4</v>
      </c>
      <c r="N508" t="str">
        <f t="shared" si="43"/>
        <v>Apr</v>
      </c>
      <c r="O508" t="str">
        <f t="shared" si="44"/>
        <v>2026-04</v>
      </c>
      <c r="P508" t="str">
        <f t="shared" si="46"/>
        <v>2026-W17</v>
      </c>
      <c r="Q508" t="str">
        <f t="shared" si="47"/>
        <v>Thu</v>
      </c>
    </row>
    <row r="509" spans="1:17" x14ac:dyDescent="0.3">
      <c r="A509" s="2">
        <v>46135</v>
      </c>
      <c r="B509" s="3" t="s">
        <v>555</v>
      </c>
      <c r="C509" s="3" t="s">
        <v>43</v>
      </c>
      <c r="D509" s="3" t="s">
        <v>26</v>
      </c>
      <c r="E509" s="3" t="s">
        <v>41</v>
      </c>
      <c r="F509" s="3" t="s">
        <v>21</v>
      </c>
      <c r="G509" s="3">
        <v>34</v>
      </c>
      <c r="H509" s="4">
        <v>1470</v>
      </c>
      <c r="I509" s="4">
        <v>1800</v>
      </c>
      <c r="J509" s="3" t="s">
        <v>16</v>
      </c>
      <c r="K509" s="3" t="s">
        <v>17</v>
      </c>
      <c r="L509">
        <f t="shared" si="45"/>
        <v>2026</v>
      </c>
      <c r="M509">
        <f t="shared" si="42"/>
        <v>4</v>
      </c>
      <c r="N509" t="str">
        <f t="shared" si="43"/>
        <v>Apr</v>
      </c>
      <c r="O509" t="str">
        <f t="shared" si="44"/>
        <v>2026-04</v>
      </c>
      <c r="P509" t="str">
        <f t="shared" si="46"/>
        <v>2026-W17</v>
      </c>
      <c r="Q509" t="str">
        <f t="shared" si="47"/>
        <v>Thu</v>
      </c>
    </row>
    <row r="510" spans="1:17" x14ac:dyDescent="0.3">
      <c r="A510" s="2">
        <v>46136</v>
      </c>
      <c r="B510" s="3" t="s">
        <v>556</v>
      </c>
      <c r="C510" s="3" t="s">
        <v>57</v>
      </c>
      <c r="D510" s="3" t="s">
        <v>19</v>
      </c>
      <c r="E510" s="3" t="s">
        <v>33</v>
      </c>
      <c r="F510" s="3" t="s">
        <v>34</v>
      </c>
      <c r="G510" s="3">
        <v>96</v>
      </c>
      <c r="H510" s="4">
        <v>5833</v>
      </c>
      <c r="I510" s="4">
        <v>5600</v>
      </c>
      <c r="J510" s="3" t="s">
        <v>22</v>
      </c>
      <c r="K510" s="3" t="s">
        <v>17</v>
      </c>
      <c r="L510">
        <f t="shared" si="45"/>
        <v>2026</v>
      </c>
      <c r="M510">
        <f t="shared" si="42"/>
        <v>4</v>
      </c>
      <c r="N510" t="str">
        <f t="shared" si="43"/>
        <v>Apr</v>
      </c>
      <c r="O510" t="str">
        <f t="shared" si="44"/>
        <v>2026-04</v>
      </c>
      <c r="P510" t="str">
        <f t="shared" si="46"/>
        <v>2026-W17</v>
      </c>
      <c r="Q510" t="str">
        <f t="shared" si="47"/>
        <v>Fri</v>
      </c>
    </row>
    <row r="511" spans="1:17" x14ac:dyDescent="0.3">
      <c r="A511" s="2">
        <v>46136</v>
      </c>
      <c r="B511" s="3" t="s">
        <v>557</v>
      </c>
      <c r="C511" s="3" t="s">
        <v>25</v>
      </c>
      <c r="D511" s="3" t="s">
        <v>19</v>
      </c>
      <c r="E511" s="3" t="s">
        <v>27</v>
      </c>
      <c r="F511" s="3" t="s">
        <v>15</v>
      </c>
      <c r="G511" s="3">
        <v>50</v>
      </c>
      <c r="H511" s="4">
        <v>2568</v>
      </c>
      <c r="I511" s="4">
        <v>2500</v>
      </c>
      <c r="J511" s="3" t="s">
        <v>16</v>
      </c>
      <c r="K511" s="3" t="s">
        <v>30</v>
      </c>
      <c r="L511">
        <f t="shared" si="45"/>
        <v>2026</v>
      </c>
      <c r="M511">
        <f t="shared" si="42"/>
        <v>4</v>
      </c>
      <c r="N511" t="str">
        <f t="shared" si="43"/>
        <v>Apr</v>
      </c>
      <c r="O511" t="str">
        <f t="shared" si="44"/>
        <v>2026-04</v>
      </c>
      <c r="P511" t="str">
        <f t="shared" si="46"/>
        <v>2026-W17</v>
      </c>
      <c r="Q511" t="str">
        <f t="shared" si="47"/>
        <v>Fri</v>
      </c>
    </row>
    <row r="512" spans="1:17" x14ac:dyDescent="0.3">
      <c r="A512" s="2">
        <v>46136</v>
      </c>
      <c r="B512" s="3" t="s">
        <v>558</v>
      </c>
      <c r="C512" s="3" t="s">
        <v>32</v>
      </c>
      <c r="D512" s="3" t="s">
        <v>26</v>
      </c>
      <c r="E512" s="3" t="s">
        <v>20</v>
      </c>
      <c r="F512" s="3" t="s">
        <v>21</v>
      </c>
      <c r="G512" s="3">
        <v>106</v>
      </c>
      <c r="H512" s="4">
        <v>5140</v>
      </c>
      <c r="I512" s="4">
        <v>4800</v>
      </c>
      <c r="J512" s="3" t="s">
        <v>22</v>
      </c>
      <c r="K512" s="3" t="s">
        <v>36</v>
      </c>
      <c r="L512">
        <f t="shared" si="45"/>
        <v>2026</v>
      </c>
      <c r="M512">
        <f t="shared" si="42"/>
        <v>4</v>
      </c>
      <c r="N512" t="str">
        <f t="shared" si="43"/>
        <v>Apr</v>
      </c>
      <c r="O512" t="str">
        <f t="shared" si="44"/>
        <v>2026-04</v>
      </c>
      <c r="P512" t="str">
        <f t="shared" si="46"/>
        <v>2026-W17</v>
      </c>
      <c r="Q512" t="str">
        <f t="shared" si="47"/>
        <v>Fri</v>
      </c>
    </row>
    <row r="513" spans="1:17" x14ac:dyDescent="0.3">
      <c r="A513" s="2">
        <v>46136</v>
      </c>
      <c r="B513" s="3" t="s">
        <v>559</v>
      </c>
      <c r="C513" s="3" t="s">
        <v>38</v>
      </c>
      <c r="D513" s="3" t="s">
        <v>26</v>
      </c>
      <c r="E513" s="3" t="s">
        <v>68</v>
      </c>
      <c r="F513" s="3" t="s">
        <v>34</v>
      </c>
      <c r="G513" s="3">
        <v>77</v>
      </c>
      <c r="H513" s="4">
        <v>5144</v>
      </c>
      <c r="I513" s="4">
        <v>4300</v>
      </c>
      <c r="J513" s="3" t="s">
        <v>22</v>
      </c>
      <c r="K513" s="3" t="s">
        <v>36</v>
      </c>
      <c r="L513">
        <f t="shared" si="45"/>
        <v>2026</v>
      </c>
      <c r="M513">
        <f t="shared" si="42"/>
        <v>4</v>
      </c>
      <c r="N513" t="str">
        <f t="shared" si="43"/>
        <v>Apr</v>
      </c>
      <c r="O513" t="str">
        <f t="shared" si="44"/>
        <v>2026-04</v>
      </c>
      <c r="P513" t="str">
        <f t="shared" si="46"/>
        <v>2026-W17</v>
      </c>
      <c r="Q513" t="str">
        <f t="shared" si="47"/>
        <v>Fri</v>
      </c>
    </row>
    <row r="514" spans="1:17" x14ac:dyDescent="0.3">
      <c r="A514" s="2">
        <v>46137</v>
      </c>
      <c r="B514" s="3" t="s">
        <v>560</v>
      </c>
      <c r="C514" s="3" t="s">
        <v>38</v>
      </c>
      <c r="D514" s="3" t="s">
        <v>26</v>
      </c>
      <c r="E514" s="3" t="s">
        <v>48</v>
      </c>
      <c r="F514" s="3" t="s">
        <v>15</v>
      </c>
      <c r="G514" s="3">
        <v>50</v>
      </c>
      <c r="H514" s="4">
        <v>2995</v>
      </c>
      <c r="I514" s="4">
        <v>2600</v>
      </c>
      <c r="J514" s="3" t="s">
        <v>22</v>
      </c>
      <c r="K514" s="3" t="s">
        <v>30</v>
      </c>
      <c r="L514">
        <f t="shared" si="45"/>
        <v>2026</v>
      </c>
      <c r="M514">
        <f t="shared" ref="M514:M577" si="48">MONTH($A514)</f>
        <v>4</v>
      </c>
      <c r="N514" t="str">
        <f t="shared" ref="N514:N577" si="49">TEXT($A514,"mmm")</f>
        <v>Apr</v>
      </c>
      <c r="O514" t="str">
        <f t="shared" ref="O514:O577" si="50">YEAR($A514)&amp;"-"&amp;TEXT(MONTH($A514),"00")</f>
        <v>2026-04</v>
      </c>
      <c r="P514" t="str">
        <f t="shared" si="46"/>
        <v>2026-W17</v>
      </c>
      <c r="Q514" t="str">
        <f t="shared" si="47"/>
        <v>Sat</v>
      </c>
    </row>
    <row r="515" spans="1:17" x14ac:dyDescent="0.3">
      <c r="A515" s="2">
        <v>46137</v>
      </c>
      <c r="B515" s="3" t="s">
        <v>561</v>
      </c>
      <c r="C515" s="3" t="s">
        <v>32</v>
      </c>
      <c r="D515" s="3" t="s">
        <v>26</v>
      </c>
      <c r="E515" s="3" t="s">
        <v>27</v>
      </c>
      <c r="F515" s="3" t="s">
        <v>15</v>
      </c>
      <c r="G515" s="3">
        <v>118</v>
      </c>
      <c r="H515" s="4">
        <v>5829</v>
      </c>
      <c r="I515" s="4">
        <v>7000</v>
      </c>
      <c r="J515" s="3" t="s">
        <v>16</v>
      </c>
      <c r="K515" s="3" t="s">
        <v>17</v>
      </c>
      <c r="L515">
        <f t="shared" ref="L515:L578" si="51">YEAR($A515)</f>
        <v>2026</v>
      </c>
      <c r="M515">
        <f t="shared" si="48"/>
        <v>4</v>
      </c>
      <c r="N515" t="str">
        <f t="shared" si="49"/>
        <v>Apr</v>
      </c>
      <c r="O515" t="str">
        <f t="shared" si="50"/>
        <v>2026-04</v>
      </c>
      <c r="P515" t="str">
        <f t="shared" ref="P515:P578" si="52">YEAR($A515)&amp;"-W"&amp;TEXT(WEEKNUM($A515,2),"00")</f>
        <v>2026-W17</v>
      </c>
      <c r="Q515" t="str">
        <f t="shared" ref="Q515:Q578" si="53">CHOOSE(WEEKDAY($A515,2),"Mon","Tue","Wed","Thu","Fri","Sat","Sun")</f>
        <v>Sat</v>
      </c>
    </row>
    <row r="516" spans="1:17" x14ac:dyDescent="0.3">
      <c r="A516" s="2">
        <v>46137</v>
      </c>
      <c r="B516" s="3" t="s">
        <v>562</v>
      </c>
      <c r="C516" s="3" t="s">
        <v>43</v>
      </c>
      <c r="D516" s="3" t="s">
        <v>65</v>
      </c>
      <c r="E516" s="3" t="s">
        <v>44</v>
      </c>
      <c r="F516" s="3" t="s">
        <v>34</v>
      </c>
      <c r="G516" s="3">
        <v>90</v>
      </c>
      <c r="H516" s="4">
        <v>5141</v>
      </c>
      <c r="I516" s="4">
        <v>4400</v>
      </c>
      <c r="J516" s="3" t="s">
        <v>22</v>
      </c>
      <c r="K516" s="3" t="s">
        <v>30</v>
      </c>
      <c r="L516">
        <f t="shared" si="51"/>
        <v>2026</v>
      </c>
      <c r="M516">
        <f t="shared" si="48"/>
        <v>4</v>
      </c>
      <c r="N516" t="str">
        <f t="shared" si="49"/>
        <v>Apr</v>
      </c>
      <c r="O516" t="str">
        <f t="shared" si="50"/>
        <v>2026-04</v>
      </c>
      <c r="P516" t="str">
        <f t="shared" si="52"/>
        <v>2026-W17</v>
      </c>
      <c r="Q516" t="str">
        <f t="shared" si="53"/>
        <v>Sat</v>
      </c>
    </row>
    <row r="517" spans="1:17" x14ac:dyDescent="0.3">
      <c r="A517" s="2">
        <v>46138</v>
      </c>
      <c r="B517" s="3" t="s">
        <v>563</v>
      </c>
      <c r="C517" s="3" t="s">
        <v>43</v>
      </c>
      <c r="D517" s="3" t="s">
        <v>26</v>
      </c>
      <c r="E517" s="3" t="s">
        <v>20</v>
      </c>
      <c r="F517" s="3" t="s">
        <v>21</v>
      </c>
      <c r="G517" s="3">
        <v>63</v>
      </c>
      <c r="H517" s="4">
        <v>2730</v>
      </c>
      <c r="I517" s="4">
        <v>2900</v>
      </c>
      <c r="J517" s="3" t="s">
        <v>16</v>
      </c>
      <c r="K517" s="3" t="s">
        <v>36</v>
      </c>
      <c r="L517">
        <f t="shared" si="51"/>
        <v>2026</v>
      </c>
      <c r="M517">
        <f t="shared" si="48"/>
        <v>4</v>
      </c>
      <c r="N517" t="str">
        <f t="shared" si="49"/>
        <v>Apr</v>
      </c>
      <c r="O517" t="str">
        <f t="shared" si="50"/>
        <v>2026-04</v>
      </c>
      <c r="P517" t="str">
        <f t="shared" si="52"/>
        <v>2026-W17</v>
      </c>
      <c r="Q517" t="str">
        <f t="shared" si="53"/>
        <v>Sun</v>
      </c>
    </row>
    <row r="518" spans="1:17" x14ac:dyDescent="0.3">
      <c r="A518" s="2">
        <v>46138</v>
      </c>
      <c r="B518" s="3" t="s">
        <v>564</v>
      </c>
      <c r="C518" s="3" t="s">
        <v>57</v>
      </c>
      <c r="D518" s="3" t="s">
        <v>53</v>
      </c>
      <c r="E518" s="3" t="s">
        <v>27</v>
      </c>
      <c r="F518" s="3" t="s">
        <v>15</v>
      </c>
      <c r="G518" s="3">
        <v>43</v>
      </c>
      <c r="H518" s="4">
        <v>2706</v>
      </c>
      <c r="I518" s="4">
        <v>2500</v>
      </c>
      <c r="J518" s="3" t="s">
        <v>22</v>
      </c>
      <c r="K518" s="3" t="s">
        <v>23</v>
      </c>
      <c r="L518">
        <f t="shared" si="51"/>
        <v>2026</v>
      </c>
      <c r="M518">
        <f t="shared" si="48"/>
        <v>4</v>
      </c>
      <c r="N518" t="str">
        <f t="shared" si="49"/>
        <v>Apr</v>
      </c>
      <c r="O518" t="str">
        <f t="shared" si="50"/>
        <v>2026-04</v>
      </c>
      <c r="P518" t="str">
        <f t="shared" si="52"/>
        <v>2026-W17</v>
      </c>
      <c r="Q518" t="str">
        <f t="shared" si="53"/>
        <v>Sun</v>
      </c>
    </row>
    <row r="519" spans="1:17" x14ac:dyDescent="0.3">
      <c r="A519" s="2">
        <v>46138</v>
      </c>
      <c r="B519" s="3" t="s">
        <v>565</v>
      </c>
      <c r="C519" s="3" t="s">
        <v>57</v>
      </c>
      <c r="D519" s="3" t="s">
        <v>26</v>
      </c>
      <c r="E519" s="3" t="s">
        <v>29</v>
      </c>
      <c r="F519" s="3" t="s">
        <v>21</v>
      </c>
      <c r="G519" s="3">
        <v>25</v>
      </c>
      <c r="H519" s="4">
        <v>1072</v>
      </c>
      <c r="I519" s="4">
        <v>1100</v>
      </c>
      <c r="J519" s="3" t="s">
        <v>22</v>
      </c>
      <c r="K519" s="3" t="s">
        <v>30</v>
      </c>
      <c r="L519">
        <f t="shared" si="51"/>
        <v>2026</v>
      </c>
      <c r="M519">
        <f t="shared" si="48"/>
        <v>4</v>
      </c>
      <c r="N519" t="str">
        <f t="shared" si="49"/>
        <v>Apr</v>
      </c>
      <c r="O519" t="str">
        <f t="shared" si="50"/>
        <v>2026-04</v>
      </c>
      <c r="P519" t="str">
        <f t="shared" si="52"/>
        <v>2026-W17</v>
      </c>
      <c r="Q519" t="str">
        <f t="shared" si="53"/>
        <v>Sun</v>
      </c>
    </row>
    <row r="520" spans="1:17" x14ac:dyDescent="0.3">
      <c r="A520" s="2">
        <v>46139</v>
      </c>
      <c r="B520" s="3" t="s">
        <v>566</v>
      </c>
      <c r="C520" s="3" t="s">
        <v>32</v>
      </c>
      <c r="D520" s="3" t="s">
        <v>26</v>
      </c>
      <c r="E520" s="3" t="s">
        <v>68</v>
      </c>
      <c r="F520" s="3" t="s">
        <v>34</v>
      </c>
      <c r="G520" s="3">
        <v>22</v>
      </c>
      <c r="H520" s="4">
        <v>1490</v>
      </c>
      <c r="I520" s="4">
        <v>1700</v>
      </c>
      <c r="J520" s="3" t="s">
        <v>22</v>
      </c>
      <c r="K520" s="3" t="s">
        <v>36</v>
      </c>
      <c r="L520">
        <f t="shared" si="51"/>
        <v>2026</v>
      </c>
      <c r="M520">
        <f t="shared" si="48"/>
        <v>4</v>
      </c>
      <c r="N520" t="str">
        <f t="shared" si="49"/>
        <v>Apr</v>
      </c>
      <c r="O520" t="str">
        <f t="shared" si="50"/>
        <v>2026-04</v>
      </c>
      <c r="P520" t="str">
        <f t="shared" si="52"/>
        <v>2026-W18</v>
      </c>
      <c r="Q520" t="str">
        <f t="shared" si="53"/>
        <v>Mon</v>
      </c>
    </row>
    <row r="521" spans="1:17" x14ac:dyDescent="0.3">
      <c r="A521" s="2">
        <v>46139</v>
      </c>
      <c r="B521" s="3" t="s">
        <v>567</v>
      </c>
      <c r="C521" s="3" t="s">
        <v>43</v>
      </c>
      <c r="D521" s="3" t="s">
        <v>26</v>
      </c>
      <c r="E521" s="3" t="s">
        <v>48</v>
      </c>
      <c r="F521" s="3" t="s">
        <v>15</v>
      </c>
      <c r="G521" s="3">
        <v>102</v>
      </c>
      <c r="H521" s="4">
        <v>6016</v>
      </c>
      <c r="I521" s="4">
        <v>6200</v>
      </c>
      <c r="J521" s="3" t="s">
        <v>22</v>
      </c>
      <c r="K521" s="3" t="s">
        <v>23</v>
      </c>
      <c r="L521">
        <f t="shared" si="51"/>
        <v>2026</v>
      </c>
      <c r="M521">
        <f t="shared" si="48"/>
        <v>4</v>
      </c>
      <c r="N521" t="str">
        <f t="shared" si="49"/>
        <v>Apr</v>
      </c>
      <c r="O521" t="str">
        <f t="shared" si="50"/>
        <v>2026-04</v>
      </c>
      <c r="P521" t="str">
        <f t="shared" si="52"/>
        <v>2026-W18</v>
      </c>
      <c r="Q521" t="str">
        <f t="shared" si="53"/>
        <v>Mon</v>
      </c>
    </row>
    <row r="522" spans="1:17" x14ac:dyDescent="0.3">
      <c r="A522" s="2">
        <v>46139</v>
      </c>
      <c r="B522" s="3" t="s">
        <v>568</v>
      </c>
      <c r="C522" s="3" t="s">
        <v>91</v>
      </c>
      <c r="D522" s="3" t="s">
        <v>26</v>
      </c>
      <c r="E522" s="3" t="s">
        <v>27</v>
      </c>
      <c r="F522" s="3" t="s">
        <v>15</v>
      </c>
      <c r="G522" s="3">
        <v>92</v>
      </c>
      <c r="H522" s="4">
        <v>5405</v>
      </c>
      <c r="I522" s="4">
        <v>6400</v>
      </c>
      <c r="J522" s="3" t="s">
        <v>22</v>
      </c>
      <c r="K522" s="3" t="s">
        <v>17</v>
      </c>
      <c r="L522">
        <f t="shared" si="51"/>
        <v>2026</v>
      </c>
      <c r="M522">
        <f t="shared" si="48"/>
        <v>4</v>
      </c>
      <c r="N522" t="str">
        <f t="shared" si="49"/>
        <v>Apr</v>
      </c>
      <c r="O522" t="str">
        <f t="shared" si="50"/>
        <v>2026-04</v>
      </c>
      <c r="P522" t="str">
        <f t="shared" si="52"/>
        <v>2026-W18</v>
      </c>
      <c r="Q522" t="str">
        <f t="shared" si="53"/>
        <v>Mon</v>
      </c>
    </row>
    <row r="523" spans="1:17" x14ac:dyDescent="0.3">
      <c r="A523" s="2">
        <v>46140</v>
      </c>
      <c r="B523" s="3" t="s">
        <v>569</v>
      </c>
      <c r="C523" s="3" t="s">
        <v>91</v>
      </c>
      <c r="D523" s="3" t="s">
        <v>53</v>
      </c>
      <c r="E523" s="3" t="s">
        <v>14</v>
      </c>
      <c r="F523" s="3" t="s">
        <v>15</v>
      </c>
      <c r="G523" s="3">
        <v>73</v>
      </c>
      <c r="H523" s="4">
        <v>3747</v>
      </c>
      <c r="I523" s="4">
        <v>4100</v>
      </c>
      <c r="J523" s="3" t="s">
        <v>22</v>
      </c>
      <c r="K523" s="3" t="s">
        <v>36</v>
      </c>
      <c r="L523">
        <f t="shared" si="51"/>
        <v>2026</v>
      </c>
      <c r="M523">
        <f t="shared" si="48"/>
        <v>4</v>
      </c>
      <c r="N523" t="str">
        <f t="shared" si="49"/>
        <v>Apr</v>
      </c>
      <c r="O523" t="str">
        <f t="shared" si="50"/>
        <v>2026-04</v>
      </c>
      <c r="P523" t="str">
        <f t="shared" si="52"/>
        <v>2026-W18</v>
      </c>
      <c r="Q523" t="str">
        <f t="shared" si="53"/>
        <v>Tue</v>
      </c>
    </row>
    <row r="524" spans="1:17" x14ac:dyDescent="0.3">
      <c r="A524" s="2">
        <v>46141</v>
      </c>
      <c r="B524" s="3" t="s">
        <v>570</v>
      </c>
      <c r="C524" s="3" t="s">
        <v>25</v>
      </c>
      <c r="D524" s="3" t="s">
        <v>19</v>
      </c>
      <c r="E524" s="3" t="s">
        <v>33</v>
      </c>
      <c r="F524" s="3" t="s">
        <v>34</v>
      </c>
      <c r="G524" s="3">
        <v>42</v>
      </c>
      <c r="H524" s="4">
        <v>2528</v>
      </c>
      <c r="I524" s="4">
        <v>2300</v>
      </c>
      <c r="J524" s="3" t="s">
        <v>22</v>
      </c>
      <c r="K524" s="3" t="s">
        <v>30</v>
      </c>
      <c r="L524">
        <f t="shared" si="51"/>
        <v>2026</v>
      </c>
      <c r="M524">
        <f t="shared" si="48"/>
        <v>4</v>
      </c>
      <c r="N524" t="str">
        <f t="shared" si="49"/>
        <v>Apr</v>
      </c>
      <c r="O524" t="str">
        <f t="shared" si="50"/>
        <v>2026-04</v>
      </c>
      <c r="P524" t="str">
        <f t="shared" si="52"/>
        <v>2026-W18</v>
      </c>
      <c r="Q524" t="str">
        <f t="shared" si="53"/>
        <v>Wed</v>
      </c>
    </row>
    <row r="525" spans="1:17" x14ac:dyDescent="0.3">
      <c r="A525" s="2">
        <v>46141</v>
      </c>
      <c r="B525" s="3" t="s">
        <v>571</v>
      </c>
      <c r="C525" s="3" t="s">
        <v>32</v>
      </c>
      <c r="D525" s="3" t="s">
        <v>53</v>
      </c>
      <c r="E525" s="3" t="s">
        <v>29</v>
      </c>
      <c r="F525" s="3" t="s">
        <v>21</v>
      </c>
      <c r="G525" s="3">
        <v>59</v>
      </c>
      <c r="H525" s="4">
        <v>2370</v>
      </c>
      <c r="I525" s="4">
        <v>2900</v>
      </c>
      <c r="J525" s="3" t="s">
        <v>22</v>
      </c>
      <c r="K525" s="3" t="s">
        <v>36</v>
      </c>
      <c r="L525">
        <f t="shared" si="51"/>
        <v>2026</v>
      </c>
      <c r="M525">
        <f t="shared" si="48"/>
        <v>4</v>
      </c>
      <c r="N525" t="str">
        <f t="shared" si="49"/>
        <v>Apr</v>
      </c>
      <c r="O525" t="str">
        <f t="shared" si="50"/>
        <v>2026-04</v>
      </c>
      <c r="P525" t="str">
        <f t="shared" si="52"/>
        <v>2026-W18</v>
      </c>
      <c r="Q525" t="str">
        <f t="shared" si="53"/>
        <v>Wed</v>
      </c>
    </row>
    <row r="526" spans="1:17" x14ac:dyDescent="0.3">
      <c r="A526" s="2">
        <v>46141</v>
      </c>
      <c r="B526" s="3" t="s">
        <v>572</v>
      </c>
      <c r="C526" s="3" t="s">
        <v>12</v>
      </c>
      <c r="D526" s="3" t="s">
        <v>19</v>
      </c>
      <c r="E526" s="3" t="s">
        <v>48</v>
      </c>
      <c r="F526" s="3" t="s">
        <v>15</v>
      </c>
      <c r="G526" s="3">
        <v>111</v>
      </c>
      <c r="H526" s="4">
        <v>5578</v>
      </c>
      <c r="I526" s="4">
        <v>5300</v>
      </c>
      <c r="J526" s="3" t="s">
        <v>39</v>
      </c>
      <c r="K526" s="3" t="s">
        <v>30</v>
      </c>
      <c r="L526">
        <f t="shared" si="51"/>
        <v>2026</v>
      </c>
      <c r="M526">
        <f t="shared" si="48"/>
        <v>4</v>
      </c>
      <c r="N526" t="str">
        <f t="shared" si="49"/>
        <v>Apr</v>
      </c>
      <c r="O526" t="str">
        <f t="shared" si="50"/>
        <v>2026-04</v>
      </c>
      <c r="P526" t="str">
        <f t="shared" si="52"/>
        <v>2026-W18</v>
      </c>
      <c r="Q526" t="str">
        <f t="shared" si="53"/>
        <v>Wed</v>
      </c>
    </row>
    <row r="527" spans="1:17" x14ac:dyDescent="0.3">
      <c r="A527" s="2">
        <v>46141</v>
      </c>
      <c r="B527" s="3" t="s">
        <v>573</v>
      </c>
      <c r="C527" s="3" t="s">
        <v>91</v>
      </c>
      <c r="D527" s="3" t="s">
        <v>26</v>
      </c>
      <c r="E527" s="3" t="s">
        <v>48</v>
      </c>
      <c r="F527" s="3" t="s">
        <v>15</v>
      </c>
      <c r="G527" s="3">
        <v>38</v>
      </c>
      <c r="H527" s="4">
        <v>1918</v>
      </c>
      <c r="I527" s="4">
        <v>2200</v>
      </c>
      <c r="J527" s="3" t="s">
        <v>22</v>
      </c>
      <c r="K527" s="3" t="s">
        <v>30</v>
      </c>
      <c r="L527">
        <f t="shared" si="51"/>
        <v>2026</v>
      </c>
      <c r="M527">
        <f t="shared" si="48"/>
        <v>4</v>
      </c>
      <c r="N527" t="str">
        <f t="shared" si="49"/>
        <v>Apr</v>
      </c>
      <c r="O527" t="str">
        <f t="shared" si="50"/>
        <v>2026-04</v>
      </c>
      <c r="P527" t="str">
        <f t="shared" si="52"/>
        <v>2026-W18</v>
      </c>
      <c r="Q527" t="str">
        <f t="shared" si="53"/>
        <v>Wed</v>
      </c>
    </row>
    <row r="528" spans="1:17" x14ac:dyDescent="0.3">
      <c r="A528" s="2">
        <v>46142</v>
      </c>
      <c r="B528" s="3" t="s">
        <v>574</v>
      </c>
      <c r="C528" s="3" t="s">
        <v>43</v>
      </c>
      <c r="D528" s="3" t="s">
        <v>53</v>
      </c>
      <c r="E528" s="3" t="s">
        <v>20</v>
      </c>
      <c r="F528" s="3" t="s">
        <v>21</v>
      </c>
      <c r="G528" s="3">
        <v>109</v>
      </c>
      <c r="H528" s="4">
        <v>4967</v>
      </c>
      <c r="I528" s="4">
        <v>4500</v>
      </c>
      <c r="J528" s="3" t="s">
        <v>39</v>
      </c>
      <c r="K528" s="3" t="s">
        <v>17</v>
      </c>
      <c r="L528">
        <f t="shared" si="51"/>
        <v>2026</v>
      </c>
      <c r="M528">
        <f t="shared" si="48"/>
        <v>4</v>
      </c>
      <c r="N528" t="str">
        <f t="shared" si="49"/>
        <v>Apr</v>
      </c>
      <c r="O528" t="str">
        <f t="shared" si="50"/>
        <v>2026-04</v>
      </c>
      <c r="P528" t="str">
        <f t="shared" si="52"/>
        <v>2026-W18</v>
      </c>
      <c r="Q528" t="str">
        <f t="shared" si="53"/>
        <v>Thu</v>
      </c>
    </row>
    <row r="529" spans="1:17" x14ac:dyDescent="0.3">
      <c r="A529" s="2">
        <v>46143</v>
      </c>
      <c r="B529" s="3" t="s">
        <v>575</v>
      </c>
      <c r="C529" s="3" t="s">
        <v>12</v>
      </c>
      <c r="D529" s="3" t="s">
        <v>26</v>
      </c>
      <c r="E529" s="3" t="s">
        <v>44</v>
      </c>
      <c r="F529" s="3" t="s">
        <v>34</v>
      </c>
      <c r="G529" s="3">
        <v>45</v>
      </c>
      <c r="H529" s="4">
        <v>3277</v>
      </c>
      <c r="I529" s="4">
        <v>3200</v>
      </c>
      <c r="J529" s="3" t="s">
        <v>22</v>
      </c>
      <c r="K529" s="3" t="s">
        <v>30</v>
      </c>
      <c r="L529">
        <f t="shared" si="51"/>
        <v>2026</v>
      </c>
      <c r="M529">
        <f t="shared" si="48"/>
        <v>5</v>
      </c>
      <c r="N529" t="str">
        <f t="shared" si="49"/>
        <v>May</v>
      </c>
      <c r="O529" t="str">
        <f t="shared" si="50"/>
        <v>2026-05</v>
      </c>
      <c r="P529" t="str">
        <f t="shared" si="52"/>
        <v>2026-W18</v>
      </c>
      <c r="Q529" t="str">
        <f t="shared" si="53"/>
        <v>Fri</v>
      </c>
    </row>
    <row r="530" spans="1:17" x14ac:dyDescent="0.3">
      <c r="A530" s="2">
        <v>46143</v>
      </c>
      <c r="B530" s="3" t="s">
        <v>576</v>
      </c>
      <c r="C530" s="3" t="s">
        <v>12</v>
      </c>
      <c r="D530" s="3" t="s">
        <v>19</v>
      </c>
      <c r="E530" s="3" t="s">
        <v>48</v>
      </c>
      <c r="F530" s="3" t="s">
        <v>15</v>
      </c>
      <c r="G530" s="3">
        <v>117</v>
      </c>
      <c r="H530" s="4">
        <v>6336</v>
      </c>
      <c r="I530" s="4">
        <v>5100</v>
      </c>
      <c r="J530" s="3" t="s">
        <v>16</v>
      </c>
      <c r="K530" s="3" t="s">
        <v>36</v>
      </c>
      <c r="L530">
        <f t="shared" si="51"/>
        <v>2026</v>
      </c>
      <c r="M530">
        <f t="shared" si="48"/>
        <v>5</v>
      </c>
      <c r="N530" t="str">
        <f t="shared" si="49"/>
        <v>May</v>
      </c>
      <c r="O530" t="str">
        <f t="shared" si="50"/>
        <v>2026-05</v>
      </c>
      <c r="P530" t="str">
        <f t="shared" si="52"/>
        <v>2026-W18</v>
      </c>
      <c r="Q530" t="str">
        <f t="shared" si="53"/>
        <v>Fri</v>
      </c>
    </row>
    <row r="531" spans="1:17" x14ac:dyDescent="0.3">
      <c r="A531" s="2">
        <v>46143</v>
      </c>
      <c r="B531" s="3" t="s">
        <v>577</v>
      </c>
      <c r="C531" s="3" t="s">
        <v>57</v>
      </c>
      <c r="D531" s="3" t="s">
        <v>26</v>
      </c>
      <c r="E531" s="3" t="s">
        <v>123</v>
      </c>
      <c r="F531" s="3" t="s">
        <v>59</v>
      </c>
      <c r="G531" s="3">
        <v>92</v>
      </c>
      <c r="H531" s="4">
        <v>9102</v>
      </c>
      <c r="I531" s="4">
        <v>8800</v>
      </c>
      <c r="J531" s="3" t="s">
        <v>39</v>
      </c>
      <c r="K531" s="3" t="s">
        <v>36</v>
      </c>
      <c r="L531">
        <f t="shared" si="51"/>
        <v>2026</v>
      </c>
      <c r="M531">
        <f t="shared" si="48"/>
        <v>5</v>
      </c>
      <c r="N531" t="str">
        <f t="shared" si="49"/>
        <v>May</v>
      </c>
      <c r="O531" t="str">
        <f t="shared" si="50"/>
        <v>2026-05</v>
      </c>
      <c r="P531" t="str">
        <f t="shared" si="52"/>
        <v>2026-W18</v>
      </c>
      <c r="Q531" t="str">
        <f t="shared" si="53"/>
        <v>Fri</v>
      </c>
    </row>
    <row r="532" spans="1:17" x14ac:dyDescent="0.3">
      <c r="A532" s="2">
        <v>46143</v>
      </c>
      <c r="B532" s="3" t="s">
        <v>578</v>
      </c>
      <c r="C532" s="3" t="s">
        <v>43</v>
      </c>
      <c r="D532" s="3" t="s">
        <v>19</v>
      </c>
      <c r="E532" s="3" t="s">
        <v>44</v>
      </c>
      <c r="F532" s="3" t="s">
        <v>34</v>
      </c>
      <c r="G532" s="3">
        <v>73</v>
      </c>
      <c r="H532" s="4">
        <v>4795</v>
      </c>
      <c r="I532" s="4">
        <v>4500</v>
      </c>
      <c r="J532" s="3" t="s">
        <v>22</v>
      </c>
      <c r="K532" s="3" t="s">
        <v>17</v>
      </c>
      <c r="L532">
        <f t="shared" si="51"/>
        <v>2026</v>
      </c>
      <c r="M532">
        <f t="shared" si="48"/>
        <v>5</v>
      </c>
      <c r="N532" t="str">
        <f t="shared" si="49"/>
        <v>May</v>
      </c>
      <c r="O532" t="str">
        <f t="shared" si="50"/>
        <v>2026-05</v>
      </c>
      <c r="P532" t="str">
        <f t="shared" si="52"/>
        <v>2026-W18</v>
      </c>
      <c r="Q532" t="str">
        <f t="shared" si="53"/>
        <v>Fri</v>
      </c>
    </row>
    <row r="533" spans="1:17" x14ac:dyDescent="0.3">
      <c r="A533" s="2">
        <v>46143</v>
      </c>
      <c r="B533" s="3" t="s">
        <v>579</v>
      </c>
      <c r="C533" s="3" t="s">
        <v>12</v>
      </c>
      <c r="D533" s="3" t="s">
        <v>26</v>
      </c>
      <c r="E533" s="3" t="s">
        <v>61</v>
      </c>
      <c r="F533" s="3" t="s">
        <v>59</v>
      </c>
      <c r="G533" s="3">
        <v>31</v>
      </c>
      <c r="H533" s="4">
        <v>3616</v>
      </c>
      <c r="I533" s="4">
        <v>3700</v>
      </c>
      <c r="J533" s="3" t="s">
        <v>22</v>
      </c>
      <c r="K533" s="3" t="s">
        <v>17</v>
      </c>
      <c r="L533">
        <f t="shared" si="51"/>
        <v>2026</v>
      </c>
      <c r="M533">
        <f t="shared" si="48"/>
        <v>5</v>
      </c>
      <c r="N533" t="str">
        <f t="shared" si="49"/>
        <v>May</v>
      </c>
      <c r="O533" t="str">
        <f t="shared" si="50"/>
        <v>2026-05</v>
      </c>
      <c r="P533" t="str">
        <f t="shared" si="52"/>
        <v>2026-W18</v>
      </c>
      <c r="Q533" t="str">
        <f t="shared" si="53"/>
        <v>Fri</v>
      </c>
    </row>
    <row r="534" spans="1:17" x14ac:dyDescent="0.3">
      <c r="A534" s="2">
        <v>46146</v>
      </c>
      <c r="B534" s="3" t="s">
        <v>580</v>
      </c>
      <c r="C534" s="3" t="s">
        <v>57</v>
      </c>
      <c r="D534" s="3" t="s">
        <v>19</v>
      </c>
      <c r="E534" s="3" t="s">
        <v>48</v>
      </c>
      <c r="F534" s="3" t="s">
        <v>15</v>
      </c>
      <c r="G534" s="3">
        <v>92</v>
      </c>
      <c r="H534" s="4">
        <v>5412</v>
      </c>
      <c r="I534" s="4">
        <v>4600</v>
      </c>
      <c r="J534" s="3" t="s">
        <v>22</v>
      </c>
      <c r="K534" s="3" t="s">
        <v>30</v>
      </c>
      <c r="L534">
        <f t="shared" si="51"/>
        <v>2026</v>
      </c>
      <c r="M534">
        <f t="shared" si="48"/>
        <v>5</v>
      </c>
      <c r="N534" t="str">
        <f t="shared" si="49"/>
        <v>May</v>
      </c>
      <c r="O534" t="str">
        <f t="shared" si="50"/>
        <v>2026-05</v>
      </c>
      <c r="P534" t="str">
        <f t="shared" si="52"/>
        <v>2026-W19</v>
      </c>
      <c r="Q534" t="str">
        <f t="shared" si="53"/>
        <v>Mon</v>
      </c>
    </row>
    <row r="535" spans="1:17" x14ac:dyDescent="0.3">
      <c r="A535" s="2">
        <v>46146</v>
      </c>
      <c r="B535" s="3" t="s">
        <v>581</v>
      </c>
      <c r="C535" s="3" t="s">
        <v>43</v>
      </c>
      <c r="D535" s="3" t="s">
        <v>26</v>
      </c>
      <c r="E535" s="3" t="s">
        <v>58</v>
      </c>
      <c r="F535" s="3" t="s">
        <v>59</v>
      </c>
      <c r="G535" s="3">
        <v>46</v>
      </c>
      <c r="H535" s="4">
        <v>4417</v>
      </c>
      <c r="I535" s="4">
        <v>5400</v>
      </c>
      <c r="J535" s="3" t="s">
        <v>22</v>
      </c>
      <c r="K535" s="3" t="s">
        <v>23</v>
      </c>
      <c r="L535">
        <f t="shared" si="51"/>
        <v>2026</v>
      </c>
      <c r="M535">
        <f t="shared" si="48"/>
        <v>5</v>
      </c>
      <c r="N535" t="str">
        <f t="shared" si="49"/>
        <v>May</v>
      </c>
      <c r="O535" t="str">
        <f t="shared" si="50"/>
        <v>2026-05</v>
      </c>
      <c r="P535" t="str">
        <f t="shared" si="52"/>
        <v>2026-W19</v>
      </c>
      <c r="Q535" t="str">
        <f t="shared" si="53"/>
        <v>Mon</v>
      </c>
    </row>
    <row r="536" spans="1:17" x14ac:dyDescent="0.3">
      <c r="A536" s="2">
        <v>46147</v>
      </c>
      <c r="B536" s="3" t="s">
        <v>582</v>
      </c>
      <c r="C536" s="3" t="s">
        <v>57</v>
      </c>
      <c r="D536" s="3" t="s">
        <v>26</v>
      </c>
      <c r="E536" s="3" t="s">
        <v>44</v>
      </c>
      <c r="F536" s="3" t="s">
        <v>34</v>
      </c>
      <c r="G536" s="3">
        <v>101</v>
      </c>
      <c r="H536" s="4">
        <v>6517</v>
      </c>
      <c r="I536" s="4">
        <v>5400</v>
      </c>
      <c r="J536" s="3" t="s">
        <v>22</v>
      </c>
      <c r="K536" s="3" t="s">
        <v>30</v>
      </c>
      <c r="L536">
        <f t="shared" si="51"/>
        <v>2026</v>
      </c>
      <c r="M536">
        <f t="shared" si="48"/>
        <v>5</v>
      </c>
      <c r="N536" t="str">
        <f t="shared" si="49"/>
        <v>May</v>
      </c>
      <c r="O536" t="str">
        <f t="shared" si="50"/>
        <v>2026-05</v>
      </c>
      <c r="P536" t="str">
        <f t="shared" si="52"/>
        <v>2026-W19</v>
      </c>
      <c r="Q536" t="str">
        <f t="shared" si="53"/>
        <v>Tue</v>
      </c>
    </row>
    <row r="537" spans="1:17" x14ac:dyDescent="0.3">
      <c r="A537" s="2">
        <v>46147</v>
      </c>
      <c r="B537" s="3" t="s">
        <v>583</v>
      </c>
      <c r="C537" s="3" t="s">
        <v>32</v>
      </c>
      <c r="D537" s="3" t="s">
        <v>53</v>
      </c>
      <c r="E537" s="3" t="s">
        <v>20</v>
      </c>
      <c r="F537" s="3" t="s">
        <v>21</v>
      </c>
      <c r="G537" s="3">
        <v>119</v>
      </c>
      <c r="H537" s="4">
        <v>4661</v>
      </c>
      <c r="I537" s="4">
        <v>4400</v>
      </c>
      <c r="J537" s="3" t="s">
        <v>22</v>
      </c>
      <c r="K537" s="3" t="s">
        <v>30</v>
      </c>
      <c r="L537">
        <f t="shared" si="51"/>
        <v>2026</v>
      </c>
      <c r="M537">
        <f t="shared" si="48"/>
        <v>5</v>
      </c>
      <c r="N537" t="str">
        <f t="shared" si="49"/>
        <v>May</v>
      </c>
      <c r="O537" t="str">
        <f t="shared" si="50"/>
        <v>2026-05</v>
      </c>
      <c r="P537" t="str">
        <f t="shared" si="52"/>
        <v>2026-W19</v>
      </c>
      <c r="Q537" t="str">
        <f t="shared" si="53"/>
        <v>Tue</v>
      </c>
    </row>
    <row r="538" spans="1:17" x14ac:dyDescent="0.3">
      <c r="A538" s="2">
        <v>46147</v>
      </c>
      <c r="B538" s="3" t="s">
        <v>584</v>
      </c>
      <c r="C538" s="3" t="s">
        <v>91</v>
      </c>
      <c r="D538" s="3" t="s">
        <v>53</v>
      </c>
      <c r="E538" s="3" t="s">
        <v>68</v>
      </c>
      <c r="F538" s="3" t="s">
        <v>34</v>
      </c>
      <c r="G538" s="3">
        <v>115</v>
      </c>
      <c r="H538" s="4">
        <v>8764</v>
      </c>
      <c r="I538" s="4">
        <v>8200</v>
      </c>
      <c r="J538" s="3" t="s">
        <v>22</v>
      </c>
      <c r="K538" s="3" t="s">
        <v>36</v>
      </c>
      <c r="L538">
        <f t="shared" si="51"/>
        <v>2026</v>
      </c>
      <c r="M538">
        <f t="shared" si="48"/>
        <v>5</v>
      </c>
      <c r="N538" t="str">
        <f t="shared" si="49"/>
        <v>May</v>
      </c>
      <c r="O538" t="str">
        <f t="shared" si="50"/>
        <v>2026-05</v>
      </c>
      <c r="P538" t="str">
        <f t="shared" si="52"/>
        <v>2026-W19</v>
      </c>
      <c r="Q538" t="str">
        <f t="shared" si="53"/>
        <v>Tue</v>
      </c>
    </row>
    <row r="539" spans="1:17" x14ac:dyDescent="0.3">
      <c r="A539" s="2">
        <v>46148</v>
      </c>
      <c r="B539" s="3" t="s">
        <v>585</v>
      </c>
      <c r="C539" s="3" t="s">
        <v>12</v>
      </c>
      <c r="D539" s="3" t="s">
        <v>26</v>
      </c>
      <c r="E539" s="3" t="s">
        <v>48</v>
      </c>
      <c r="F539" s="3" t="s">
        <v>15</v>
      </c>
      <c r="G539" s="3">
        <v>63</v>
      </c>
      <c r="H539" s="4">
        <v>3207</v>
      </c>
      <c r="I539" s="4">
        <v>3100</v>
      </c>
      <c r="J539" s="3" t="s">
        <v>22</v>
      </c>
      <c r="K539" s="3" t="s">
        <v>30</v>
      </c>
      <c r="L539">
        <f t="shared" si="51"/>
        <v>2026</v>
      </c>
      <c r="M539">
        <f t="shared" si="48"/>
        <v>5</v>
      </c>
      <c r="N539" t="str">
        <f t="shared" si="49"/>
        <v>May</v>
      </c>
      <c r="O539" t="str">
        <f t="shared" si="50"/>
        <v>2026-05</v>
      </c>
      <c r="P539" t="str">
        <f t="shared" si="52"/>
        <v>2026-W19</v>
      </c>
      <c r="Q539" t="str">
        <f t="shared" si="53"/>
        <v>Wed</v>
      </c>
    </row>
    <row r="540" spans="1:17" x14ac:dyDescent="0.3">
      <c r="A540" s="2">
        <v>46148</v>
      </c>
      <c r="B540" s="3" t="s">
        <v>586</v>
      </c>
      <c r="C540" s="3" t="s">
        <v>91</v>
      </c>
      <c r="D540" s="3" t="s">
        <v>26</v>
      </c>
      <c r="E540" s="3" t="s">
        <v>41</v>
      </c>
      <c r="F540" s="3" t="s">
        <v>21</v>
      </c>
      <c r="G540" s="3">
        <v>14</v>
      </c>
      <c r="H540" s="4">
        <v>566</v>
      </c>
      <c r="I540" s="4">
        <v>600</v>
      </c>
      <c r="J540" s="3" t="s">
        <v>22</v>
      </c>
      <c r="K540" s="3" t="s">
        <v>36</v>
      </c>
      <c r="L540">
        <f t="shared" si="51"/>
        <v>2026</v>
      </c>
      <c r="M540">
        <f t="shared" si="48"/>
        <v>5</v>
      </c>
      <c r="N540" t="str">
        <f t="shared" si="49"/>
        <v>May</v>
      </c>
      <c r="O540" t="str">
        <f t="shared" si="50"/>
        <v>2026-05</v>
      </c>
      <c r="P540" t="str">
        <f t="shared" si="52"/>
        <v>2026-W19</v>
      </c>
      <c r="Q540" t="str">
        <f t="shared" si="53"/>
        <v>Wed</v>
      </c>
    </row>
    <row r="541" spans="1:17" x14ac:dyDescent="0.3">
      <c r="A541" s="2">
        <v>46148</v>
      </c>
      <c r="B541" s="3" t="s">
        <v>587</v>
      </c>
      <c r="C541" s="3" t="s">
        <v>38</v>
      </c>
      <c r="D541" s="3" t="s">
        <v>19</v>
      </c>
      <c r="E541" s="3" t="s">
        <v>27</v>
      </c>
      <c r="F541" s="3" t="s">
        <v>15</v>
      </c>
      <c r="G541" s="3">
        <v>19</v>
      </c>
      <c r="H541" s="4">
        <v>1151</v>
      </c>
      <c r="I541" s="4">
        <v>1300</v>
      </c>
      <c r="J541" s="3" t="s">
        <v>22</v>
      </c>
      <c r="K541" s="3" t="s">
        <v>30</v>
      </c>
      <c r="L541">
        <f t="shared" si="51"/>
        <v>2026</v>
      </c>
      <c r="M541">
        <f t="shared" si="48"/>
        <v>5</v>
      </c>
      <c r="N541" t="str">
        <f t="shared" si="49"/>
        <v>May</v>
      </c>
      <c r="O541" t="str">
        <f t="shared" si="50"/>
        <v>2026-05</v>
      </c>
      <c r="P541" t="str">
        <f t="shared" si="52"/>
        <v>2026-W19</v>
      </c>
      <c r="Q541" t="str">
        <f t="shared" si="53"/>
        <v>Wed</v>
      </c>
    </row>
    <row r="542" spans="1:17" x14ac:dyDescent="0.3">
      <c r="A542" s="2">
        <v>46148</v>
      </c>
      <c r="B542" s="3" t="s">
        <v>588</v>
      </c>
      <c r="C542" s="3" t="s">
        <v>12</v>
      </c>
      <c r="D542" s="3" t="s">
        <v>19</v>
      </c>
      <c r="E542" s="3" t="s">
        <v>29</v>
      </c>
      <c r="F542" s="3" t="s">
        <v>21</v>
      </c>
      <c r="G542" s="3">
        <v>21</v>
      </c>
      <c r="H542" s="4">
        <v>1031</v>
      </c>
      <c r="I542" s="4">
        <v>1200</v>
      </c>
      <c r="J542" s="3" t="s">
        <v>16</v>
      </c>
      <c r="K542" s="3" t="s">
        <v>23</v>
      </c>
      <c r="L542">
        <f t="shared" si="51"/>
        <v>2026</v>
      </c>
      <c r="M542">
        <f t="shared" si="48"/>
        <v>5</v>
      </c>
      <c r="N542" t="str">
        <f t="shared" si="49"/>
        <v>May</v>
      </c>
      <c r="O542" t="str">
        <f t="shared" si="50"/>
        <v>2026-05</v>
      </c>
      <c r="P542" t="str">
        <f t="shared" si="52"/>
        <v>2026-W19</v>
      </c>
      <c r="Q542" t="str">
        <f t="shared" si="53"/>
        <v>Wed</v>
      </c>
    </row>
    <row r="543" spans="1:17" x14ac:dyDescent="0.3">
      <c r="A543" s="2">
        <v>46149</v>
      </c>
      <c r="B543" s="3" t="s">
        <v>589</v>
      </c>
      <c r="C543" s="3" t="s">
        <v>38</v>
      </c>
      <c r="D543" s="3" t="s">
        <v>53</v>
      </c>
      <c r="E543" s="3" t="s">
        <v>68</v>
      </c>
      <c r="F543" s="3" t="s">
        <v>34</v>
      </c>
      <c r="G543" s="3">
        <v>101</v>
      </c>
      <c r="H543" s="4">
        <v>5745</v>
      </c>
      <c r="I543" s="4">
        <v>4900</v>
      </c>
      <c r="J543" s="3" t="s">
        <v>22</v>
      </c>
      <c r="K543" s="3" t="s">
        <v>23</v>
      </c>
      <c r="L543">
        <f t="shared" si="51"/>
        <v>2026</v>
      </c>
      <c r="M543">
        <f t="shared" si="48"/>
        <v>5</v>
      </c>
      <c r="N543" t="str">
        <f t="shared" si="49"/>
        <v>May</v>
      </c>
      <c r="O543" t="str">
        <f t="shared" si="50"/>
        <v>2026-05</v>
      </c>
      <c r="P543" t="str">
        <f t="shared" si="52"/>
        <v>2026-W19</v>
      </c>
      <c r="Q543" t="str">
        <f t="shared" si="53"/>
        <v>Thu</v>
      </c>
    </row>
    <row r="544" spans="1:17" x14ac:dyDescent="0.3">
      <c r="A544" s="2">
        <v>46149</v>
      </c>
      <c r="B544" s="3" t="s">
        <v>590</v>
      </c>
      <c r="C544" s="3" t="s">
        <v>25</v>
      </c>
      <c r="D544" s="3" t="s">
        <v>53</v>
      </c>
      <c r="E544" s="3" t="s">
        <v>48</v>
      </c>
      <c r="F544" s="3" t="s">
        <v>15</v>
      </c>
      <c r="G544" s="3">
        <v>99</v>
      </c>
      <c r="H544" s="4">
        <v>5277</v>
      </c>
      <c r="I544" s="4">
        <v>4200</v>
      </c>
      <c r="J544" s="3" t="s">
        <v>22</v>
      </c>
      <c r="K544" s="3" t="s">
        <v>36</v>
      </c>
      <c r="L544">
        <f t="shared" si="51"/>
        <v>2026</v>
      </c>
      <c r="M544">
        <f t="shared" si="48"/>
        <v>5</v>
      </c>
      <c r="N544" t="str">
        <f t="shared" si="49"/>
        <v>May</v>
      </c>
      <c r="O544" t="str">
        <f t="shared" si="50"/>
        <v>2026-05</v>
      </c>
      <c r="P544" t="str">
        <f t="shared" si="52"/>
        <v>2026-W19</v>
      </c>
      <c r="Q544" t="str">
        <f t="shared" si="53"/>
        <v>Thu</v>
      </c>
    </row>
    <row r="545" spans="1:17" x14ac:dyDescent="0.3">
      <c r="A545" s="2">
        <v>46149</v>
      </c>
      <c r="B545" s="3" t="s">
        <v>591</v>
      </c>
      <c r="C545" s="3" t="s">
        <v>43</v>
      </c>
      <c r="D545" s="3" t="s">
        <v>19</v>
      </c>
      <c r="E545" s="3" t="s">
        <v>61</v>
      </c>
      <c r="F545" s="3" t="s">
        <v>59</v>
      </c>
      <c r="G545" s="3">
        <v>116</v>
      </c>
      <c r="H545" s="4">
        <v>14121</v>
      </c>
      <c r="I545" s="4">
        <v>12800</v>
      </c>
      <c r="J545" s="3" t="s">
        <v>16</v>
      </c>
      <c r="K545" s="3" t="s">
        <v>30</v>
      </c>
      <c r="L545">
        <f t="shared" si="51"/>
        <v>2026</v>
      </c>
      <c r="M545">
        <f t="shared" si="48"/>
        <v>5</v>
      </c>
      <c r="N545" t="str">
        <f t="shared" si="49"/>
        <v>May</v>
      </c>
      <c r="O545" t="str">
        <f t="shared" si="50"/>
        <v>2026-05</v>
      </c>
      <c r="P545" t="str">
        <f t="shared" si="52"/>
        <v>2026-W19</v>
      </c>
      <c r="Q545" t="str">
        <f t="shared" si="53"/>
        <v>Thu</v>
      </c>
    </row>
    <row r="546" spans="1:17" x14ac:dyDescent="0.3">
      <c r="A546" s="2">
        <v>46150</v>
      </c>
      <c r="B546" s="3" t="s">
        <v>592</v>
      </c>
      <c r="C546" s="3" t="s">
        <v>32</v>
      </c>
      <c r="D546" s="3" t="s">
        <v>53</v>
      </c>
      <c r="E546" s="3" t="s">
        <v>41</v>
      </c>
      <c r="F546" s="3" t="s">
        <v>21</v>
      </c>
      <c r="G546" s="3">
        <v>81</v>
      </c>
      <c r="H546" s="4">
        <v>3056</v>
      </c>
      <c r="I546" s="4">
        <v>3000</v>
      </c>
      <c r="J546" s="3" t="s">
        <v>22</v>
      </c>
      <c r="K546" s="3" t="s">
        <v>17</v>
      </c>
      <c r="L546">
        <f t="shared" si="51"/>
        <v>2026</v>
      </c>
      <c r="M546">
        <f t="shared" si="48"/>
        <v>5</v>
      </c>
      <c r="N546" t="str">
        <f t="shared" si="49"/>
        <v>May</v>
      </c>
      <c r="O546" t="str">
        <f t="shared" si="50"/>
        <v>2026-05</v>
      </c>
      <c r="P546" t="str">
        <f t="shared" si="52"/>
        <v>2026-W19</v>
      </c>
      <c r="Q546" t="str">
        <f t="shared" si="53"/>
        <v>Fri</v>
      </c>
    </row>
    <row r="547" spans="1:17" x14ac:dyDescent="0.3">
      <c r="A547" s="2">
        <v>46151</v>
      </c>
      <c r="B547" s="3" t="s">
        <v>593</v>
      </c>
      <c r="C547" s="3" t="s">
        <v>12</v>
      </c>
      <c r="D547" s="3" t="s">
        <v>65</v>
      </c>
      <c r="E547" s="3" t="s">
        <v>58</v>
      </c>
      <c r="F547" s="3" t="s">
        <v>59</v>
      </c>
      <c r="G547" s="3">
        <v>63</v>
      </c>
      <c r="H547" s="4">
        <v>7732</v>
      </c>
      <c r="I547" s="4">
        <v>8400</v>
      </c>
      <c r="J547" s="3" t="s">
        <v>39</v>
      </c>
      <c r="K547" s="3" t="s">
        <v>36</v>
      </c>
      <c r="L547">
        <f t="shared" si="51"/>
        <v>2026</v>
      </c>
      <c r="M547">
        <f t="shared" si="48"/>
        <v>5</v>
      </c>
      <c r="N547" t="str">
        <f t="shared" si="49"/>
        <v>May</v>
      </c>
      <c r="O547" t="str">
        <f t="shared" si="50"/>
        <v>2026-05</v>
      </c>
      <c r="P547" t="str">
        <f t="shared" si="52"/>
        <v>2026-W19</v>
      </c>
      <c r="Q547" t="str">
        <f t="shared" si="53"/>
        <v>Sat</v>
      </c>
    </row>
    <row r="548" spans="1:17" x14ac:dyDescent="0.3">
      <c r="A548" s="2">
        <v>46152</v>
      </c>
      <c r="B548" s="3" t="s">
        <v>594</v>
      </c>
      <c r="C548" s="3" t="s">
        <v>12</v>
      </c>
      <c r="D548" s="3" t="s">
        <v>47</v>
      </c>
      <c r="E548" s="3" t="s">
        <v>61</v>
      </c>
      <c r="F548" s="3" t="s">
        <v>59</v>
      </c>
      <c r="G548" s="3">
        <v>78</v>
      </c>
      <c r="H548" s="4">
        <v>7855</v>
      </c>
      <c r="I548" s="4">
        <v>7400</v>
      </c>
      <c r="J548" s="3" t="s">
        <v>22</v>
      </c>
      <c r="K548" s="3" t="s">
        <v>36</v>
      </c>
      <c r="L548">
        <f t="shared" si="51"/>
        <v>2026</v>
      </c>
      <c r="M548">
        <f t="shared" si="48"/>
        <v>5</v>
      </c>
      <c r="N548" t="str">
        <f t="shared" si="49"/>
        <v>May</v>
      </c>
      <c r="O548" t="str">
        <f t="shared" si="50"/>
        <v>2026-05</v>
      </c>
      <c r="P548" t="str">
        <f t="shared" si="52"/>
        <v>2026-W19</v>
      </c>
      <c r="Q548" t="str">
        <f t="shared" si="53"/>
        <v>Sun</v>
      </c>
    </row>
    <row r="549" spans="1:17" x14ac:dyDescent="0.3">
      <c r="A549" s="2">
        <v>46152</v>
      </c>
      <c r="B549" s="3" t="s">
        <v>595</v>
      </c>
      <c r="C549" s="3" t="s">
        <v>50</v>
      </c>
      <c r="D549" s="3" t="s">
        <v>26</v>
      </c>
      <c r="E549" s="3" t="s">
        <v>41</v>
      </c>
      <c r="F549" s="3" t="s">
        <v>21</v>
      </c>
      <c r="G549" s="3">
        <v>18</v>
      </c>
      <c r="H549" s="4">
        <v>863</v>
      </c>
      <c r="I549" s="4">
        <v>800</v>
      </c>
      <c r="J549" s="3" t="s">
        <v>22</v>
      </c>
      <c r="K549" s="3" t="s">
        <v>30</v>
      </c>
      <c r="L549">
        <f t="shared" si="51"/>
        <v>2026</v>
      </c>
      <c r="M549">
        <f t="shared" si="48"/>
        <v>5</v>
      </c>
      <c r="N549" t="str">
        <f t="shared" si="49"/>
        <v>May</v>
      </c>
      <c r="O549" t="str">
        <f t="shared" si="50"/>
        <v>2026-05</v>
      </c>
      <c r="P549" t="str">
        <f t="shared" si="52"/>
        <v>2026-W19</v>
      </c>
      <c r="Q549" t="str">
        <f t="shared" si="53"/>
        <v>Sun</v>
      </c>
    </row>
    <row r="550" spans="1:17" x14ac:dyDescent="0.3">
      <c r="A550" s="2">
        <v>46152</v>
      </c>
      <c r="B550" s="3" t="s">
        <v>596</v>
      </c>
      <c r="C550" s="3" t="s">
        <v>38</v>
      </c>
      <c r="D550" s="3" t="s">
        <v>26</v>
      </c>
      <c r="E550" s="3" t="s">
        <v>20</v>
      </c>
      <c r="F550" s="3" t="s">
        <v>21</v>
      </c>
      <c r="G550" s="3">
        <v>105</v>
      </c>
      <c r="H550" s="4">
        <v>5072</v>
      </c>
      <c r="I550" s="4">
        <v>4200</v>
      </c>
      <c r="J550" s="3" t="s">
        <v>22</v>
      </c>
      <c r="K550" s="3" t="s">
        <v>36</v>
      </c>
      <c r="L550">
        <f t="shared" si="51"/>
        <v>2026</v>
      </c>
      <c r="M550">
        <f t="shared" si="48"/>
        <v>5</v>
      </c>
      <c r="N550" t="str">
        <f t="shared" si="49"/>
        <v>May</v>
      </c>
      <c r="O550" t="str">
        <f t="shared" si="50"/>
        <v>2026-05</v>
      </c>
      <c r="P550" t="str">
        <f t="shared" si="52"/>
        <v>2026-W19</v>
      </c>
      <c r="Q550" t="str">
        <f t="shared" si="53"/>
        <v>Sun</v>
      </c>
    </row>
    <row r="551" spans="1:17" x14ac:dyDescent="0.3">
      <c r="A551" s="2">
        <v>46153</v>
      </c>
      <c r="B551" s="3" t="s">
        <v>597</v>
      </c>
      <c r="C551" s="3" t="s">
        <v>38</v>
      </c>
      <c r="D551" s="3" t="s">
        <v>26</v>
      </c>
      <c r="E551" s="3" t="s">
        <v>27</v>
      </c>
      <c r="F551" s="3" t="s">
        <v>15</v>
      </c>
      <c r="G551" s="3">
        <v>83</v>
      </c>
      <c r="H551" s="4">
        <v>4371</v>
      </c>
      <c r="I551" s="4">
        <v>3800</v>
      </c>
      <c r="J551" s="3" t="s">
        <v>22</v>
      </c>
      <c r="K551" s="3" t="s">
        <v>30</v>
      </c>
      <c r="L551">
        <f t="shared" si="51"/>
        <v>2026</v>
      </c>
      <c r="M551">
        <f t="shared" si="48"/>
        <v>5</v>
      </c>
      <c r="N551" t="str">
        <f t="shared" si="49"/>
        <v>May</v>
      </c>
      <c r="O551" t="str">
        <f t="shared" si="50"/>
        <v>2026-05</v>
      </c>
      <c r="P551" t="str">
        <f t="shared" si="52"/>
        <v>2026-W20</v>
      </c>
      <c r="Q551" t="str">
        <f t="shared" si="53"/>
        <v>Mon</v>
      </c>
    </row>
    <row r="552" spans="1:17" x14ac:dyDescent="0.3">
      <c r="A552" s="2">
        <v>46153</v>
      </c>
      <c r="B552" s="3" t="s">
        <v>598</v>
      </c>
      <c r="C552" s="3" t="s">
        <v>50</v>
      </c>
      <c r="D552" s="3" t="s">
        <v>19</v>
      </c>
      <c r="E552" s="3" t="s">
        <v>123</v>
      </c>
      <c r="F552" s="3" t="s">
        <v>59</v>
      </c>
      <c r="G552" s="3">
        <v>117</v>
      </c>
      <c r="H552" s="4">
        <v>13604</v>
      </c>
      <c r="I552" s="4">
        <v>14100</v>
      </c>
      <c r="J552" s="3" t="s">
        <v>22</v>
      </c>
      <c r="K552" s="3" t="s">
        <v>30</v>
      </c>
      <c r="L552">
        <f t="shared" si="51"/>
        <v>2026</v>
      </c>
      <c r="M552">
        <f t="shared" si="48"/>
        <v>5</v>
      </c>
      <c r="N552" t="str">
        <f t="shared" si="49"/>
        <v>May</v>
      </c>
      <c r="O552" t="str">
        <f t="shared" si="50"/>
        <v>2026-05</v>
      </c>
      <c r="P552" t="str">
        <f t="shared" si="52"/>
        <v>2026-W20</v>
      </c>
      <c r="Q552" t="str">
        <f t="shared" si="53"/>
        <v>Mon</v>
      </c>
    </row>
    <row r="553" spans="1:17" x14ac:dyDescent="0.3">
      <c r="A553" s="2">
        <v>46153</v>
      </c>
      <c r="B553" s="3" t="s">
        <v>599</v>
      </c>
      <c r="C553" s="3" t="s">
        <v>12</v>
      </c>
      <c r="D553" s="3" t="s">
        <v>19</v>
      </c>
      <c r="E553" s="3" t="s">
        <v>41</v>
      </c>
      <c r="F553" s="3" t="s">
        <v>21</v>
      </c>
      <c r="G553" s="3">
        <v>107</v>
      </c>
      <c r="H553" s="4">
        <v>5107</v>
      </c>
      <c r="I553" s="4">
        <v>4400</v>
      </c>
      <c r="J553" s="3" t="s">
        <v>22</v>
      </c>
      <c r="K553" s="3" t="s">
        <v>36</v>
      </c>
      <c r="L553">
        <f t="shared" si="51"/>
        <v>2026</v>
      </c>
      <c r="M553">
        <f t="shared" si="48"/>
        <v>5</v>
      </c>
      <c r="N553" t="str">
        <f t="shared" si="49"/>
        <v>May</v>
      </c>
      <c r="O553" t="str">
        <f t="shared" si="50"/>
        <v>2026-05</v>
      </c>
      <c r="P553" t="str">
        <f t="shared" si="52"/>
        <v>2026-W20</v>
      </c>
      <c r="Q553" t="str">
        <f t="shared" si="53"/>
        <v>Mon</v>
      </c>
    </row>
    <row r="554" spans="1:17" x14ac:dyDescent="0.3">
      <c r="A554" s="2">
        <v>46154</v>
      </c>
      <c r="B554" s="3" t="s">
        <v>600</v>
      </c>
      <c r="C554" s="3" t="s">
        <v>43</v>
      </c>
      <c r="D554" s="3" t="s">
        <v>65</v>
      </c>
      <c r="E554" s="3" t="s">
        <v>33</v>
      </c>
      <c r="F554" s="3" t="s">
        <v>34</v>
      </c>
      <c r="G554" s="3">
        <v>38</v>
      </c>
      <c r="H554" s="4">
        <v>2212</v>
      </c>
      <c r="I554" s="4">
        <v>1900</v>
      </c>
      <c r="J554" s="3" t="s">
        <v>22</v>
      </c>
      <c r="K554" s="3" t="s">
        <v>36</v>
      </c>
      <c r="L554">
        <f t="shared" si="51"/>
        <v>2026</v>
      </c>
      <c r="M554">
        <f t="shared" si="48"/>
        <v>5</v>
      </c>
      <c r="N554" t="str">
        <f t="shared" si="49"/>
        <v>May</v>
      </c>
      <c r="O554" t="str">
        <f t="shared" si="50"/>
        <v>2026-05</v>
      </c>
      <c r="P554" t="str">
        <f t="shared" si="52"/>
        <v>2026-W20</v>
      </c>
      <c r="Q554" t="str">
        <f t="shared" si="53"/>
        <v>Tue</v>
      </c>
    </row>
    <row r="555" spans="1:17" x14ac:dyDescent="0.3">
      <c r="A555" s="2">
        <v>46154</v>
      </c>
      <c r="B555" s="3" t="s">
        <v>601</v>
      </c>
      <c r="C555" s="3" t="s">
        <v>50</v>
      </c>
      <c r="D555" s="3" t="s">
        <v>19</v>
      </c>
      <c r="E555" s="3" t="s">
        <v>27</v>
      </c>
      <c r="F555" s="3" t="s">
        <v>15</v>
      </c>
      <c r="G555" s="3">
        <v>61</v>
      </c>
      <c r="H555" s="4">
        <v>3804</v>
      </c>
      <c r="I555" s="4">
        <v>3900</v>
      </c>
      <c r="J555" s="3" t="s">
        <v>22</v>
      </c>
      <c r="K555" s="3" t="s">
        <v>23</v>
      </c>
      <c r="L555">
        <f t="shared" si="51"/>
        <v>2026</v>
      </c>
      <c r="M555">
        <f t="shared" si="48"/>
        <v>5</v>
      </c>
      <c r="N555" t="str">
        <f t="shared" si="49"/>
        <v>May</v>
      </c>
      <c r="O555" t="str">
        <f t="shared" si="50"/>
        <v>2026-05</v>
      </c>
      <c r="P555" t="str">
        <f t="shared" si="52"/>
        <v>2026-W20</v>
      </c>
      <c r="Q555" t="str">
        <f t="shared" si="53"/>
        <v>Tue</v>
      </c>
    </row>
    <row r="556" spans="1:17" x14ac:dyDescent="0.3">
      <c r="A556" s="2">
        <v>46154</v>
      </c>
      <c r="B556" s="3" t="s">
        <v>602</v>
      </c>
      <c r="C556" s="3" t="s">
        <v>12</v>
      </c>
      <c r="D556" s="3" t="s">
        <v>19</v>
      </c>
      <c r="E556" s="3" t="s">
        <v>29</v>
      </c>
      <c r="F556" s="3" t="s">
        <v>21</v>
      </c>
      <c r="G556" s="3">
        <v>93</v>
      </c>
      <c r="H556" s="4">
        <v>4357</v>
      </c>
      <c r="I556" s="4">
        <v>4800</v>
      </c>
      <c r="J556" s="3" t="s">
        <v>22</v>
      </c>
      <c r="K556" s="3" t="s">
        <v>36</v>
      </c>
      <c r="L556">
        <f t="shared" si="51"/>
        <v>2026</v>
      </c>
      <c r="M556">
        <f t="shared" si="48"/>
        <v>5</v>
      </c>
      <c r="N556" t="str">
        <f t="shared" si="49"/>
        <v>May</v>
      </c>
      <c r="O556" t="str">
        <f t="shared" si="50"/>
        <v>2026-05</v>
      </c>
      <c r="P556" t="str">
        <f t="shared" si="52"/>
        <v>2026-W20</v>
      </c>
      <c r="Q556" t="str">
        <f t="shared" si="53"/>
        <v>Tue</v>
      </c>
    </row>
    <row r="557" spans="1:17" x14ac:dyDescent="0.3">
      <c r="A557" s="2">
        <v>46154</v>
      </c>
      <c r="B557" s="3" t="s">
        <v>603</v>
      </c>
      <c r="C557" s="3" t="s">
        <v>43</v>
      </c>
      <c r="D557" s="3" t="s">
        <v>53</v>
      </c>
      <c r="E557" s="3" t="s">
        <v>41</v>
      </c>
      <c r="F557" s="3" t="s">
        <v>21</v>
      </c>
      <c r="G557" s="3">
        <v>54</v>
      </c>
      <c r="H557" s="4">
        <v>2242</v>
      </c>
      <c r="I557" s="4">
        <v>1900</v>
      </c>
      <c r="J557" s="3" t="s">
        <v>22</v>
      </c>
      <c r="K557" s="3" t="s">
        <v>36</v>
      </c>
      <c r="L557">
        <f t="shared" si="51"/>
        <v>2026</v>
      </c>
      <c r="M557">
        <f t="shared" si="48"/>
        <v>5</v>
      </c>
      <c r="N557" t="str">
        <f t="shared" si="49"/>
        <v>May</v>
      </c>
      <c r="O557" t="str">
        <f t="shared" si="50"/>
        <v>2026-05</v>
      </c>
      <c r="P557" t="str">
        <f t="shared" si="52"/>
        <v>2026-W20</v>
      </c>
      <c r="Q557" t="str">
        <f t="shared" si="53"/>
        <v>Tue</v>
      </c>
    </row>
    <row r="558" spans="1:17" x14ac:dyDescent="0.3">
      <c r="A558" s="2">
        <v>46155</v>
      </c>
      <c r="B558" s="3" t="s">
        <v>604</v>
      </c>
      <c r="C558" s="3" t="s">
        <v>25</v>
      </c>
      <c r="D558" s="3" t="s">
        <v>26</v>
      </c>
      <c r="E558" s="3" t="s">
        <v>48</v>
      </c>
      <c r="F558" s="3" t="s">
        <v>15</v>
      </c>
      <c r="G558" s="3">
        <v>100</v>
      </c>
      <c r="H558" s="4">
        <v>5716</v>
      </c>
      <c r="I558" s="4">
        <v>5500</v>
      </c>
      <c r="J558" s="3" t="s">
        <v>22</v>
      </c>
      <c r="K558" s="3" t="s">
        <v>36</v>
      </c>
      <c r="L558">
        <f t="shared" si="51"/>
        <v>2026</v>
      </c>
      <c r="M558">
        <f t="shared" si="48"/>
        <v>5</v>
      </c>
      <c r="N558" t="str">
        <f t="shared" si="49"/>
        <v>May</v>
      </c>
      <c r="O558" t="str">
        <f t="shared" si="50"/>
        <v>2026-05</v>
      </c>
      <c r="P558" t="str">
        <f t="shared" si="52"/>
        <v>2026-W20</v>
      </c>
      <c r="Q558" t="str">
        <f t="shared" si="53"/>
        <v>Wed</v>
      </c>
    </row>
    <row r="559" spans="1:17" x14ac:dyDescent="0.3">
      <c r="A559" s="2">
        <v>46155</v>
      </c>
      <c r="B559" s="3" t="s">
        <v>605</v>
      </c>
      <c r="C559" s="3" t="s">
        <v>12</v>
      </c>
      <c r="D559" s="3" t="s">
        <v>19</v>
      </c>
      <c r="E559" s="3" t="s">
        <v>41</v>
      </c>
      <c r="F559" s="3" t="s">
        <v>21</v>
      </c>
      <c r="G559" s="3">
        <v>77</v>
      </c>
      <c r="H559" s="4">
        <v>2939</v>
      </c>
      <c r="I559" s="4">
        <v>2600</v>
      </c>
      <c r="J559" s="3" t="s">
        <v>16</v>
      </c>
      <c r="K559" s="3" t="s">
        <v>36</v>
      </c>
      <c r="L559">
        <f t="shared" si="51"/>
        <v>2026</v>
      </c>
      <c r="M559">
        <f t="shared" si="48"/>
        <v>5</v>
      </c>
      <c r="N559" t="str">
        <f t="shared" si="49"/>
        <v>May</v>
      </c>
      <c r="O559" t="str">
        <f t="shared" si="50"/>
        <v>2026-05</v>
      </c>
      <c r="P559" t="str">
        <f t="shared" si="52"/>
        <v>2026-W20</v>
      </c>
      <c r="Q559" t="str">
        <f t="shared" si="53"/>
        <v>Wed</v>
      </c>
    </row>
    <row r="560" spans="1:17" x14ac:dyDescent="0.3">
      <c r="A560" s="2">
        <v>46155</v>
      </c>
      <c r="B560" s="3" t="s">
        <v>606</v>
      </c>
      <c r="C560" s="3" t="s">
        <v>32</v>
      </c>
      <c r="D560" s="3" t="s">
        <v>26</v>
      </c>
      <c r="E560" s="3" t="s">
        <v>48</v>
      </c>
      <c r="F560" s="3" t="s">
        <v>15</v>
      </c>
      <c r="G560" s="3">
        <v>13</v>
      </c>
      <c r="H560" s="4">
        <v>849</v>
      </c>
      <c r="I560" s="4">
        <v>900</v>
      </c>
      <c r="J560" s="3" t="s">
        <v>22</v>
      </c>
      <c r="K560" s="3" t="s">
        <v>36</v>
      </c>
      <c r="L560">
        <f t="shared" si="51"/>
        <v>2026</v>
      </c>
      <c r="M560">
        <f t="shared" si="48"/>
        <v>5</v>
      </c>
      <c r="N560" t="str">
        <f t="shared" si="49"/>
        <v>May</v>
      </c>
      <c r="O560" t="str">
        <f t="shared" si="50"/>
        <v>2026-05</v>
      </c>
      <c r="P560" t="str">
        <f t="shared" si="52"/>
        <v>2026-W20</v>
      </c>
      <c r="Q560" t="str">
        <f t="shared" si="53"/>
        <v>Wed</v>
      </c>
    </row>
    <row r="561" spans="1:17" x14ac:dyDescent="0.3">
      <c r="A561" s="2">
        <v>46155</v>
      </c>
      <c r="B561" s="3" t="s">
        <v>607</v>
      </c>
      <c r="C561" s="3" t="s">
        <v>50</v>
      </c>
      <c r="D561" s="3" t="s">
        <v>53</v>
      </c>
      <c r="E561" s="3" t="s">
        <v>41</v>
      </c>
      <c r="F561" s="3" t="s">
        <v>21</v>
      </c>
      <c r="G561" s="3">
        <v>60</v>
      </c>
      <c r="H561" s="4">
        <v>2140</v>
      </c>
      <c r="I561" s="4">
        <v>2200</v>
      </c>
      <c r="J561" s="3" t="s">
        <v>22</v>
      </c>
      <c r="K561" s="3" t="s">
        <v>36</v>
      </c>
      <c r="L561">
        <f t="shared" si="51"/>
        <v>2026</v>
      </c>
      <c r="M561">
        <f t="shared" si="48"/>
        <v>5</v>
      </c>
      <c r="N561" t="str">
        <f t="shared" si="49"/>
        <v>May</v>
      </c>
      <c r="O561" t="str">
        <f t="shared" si="50"/>
        <v>2026-05</v>
      </c>
      <c r="P561" t="str">
        <f t="shared" si="52"/>
        <v>2026-W20</v>
      </c>
      <c r="Q561" t="str">
        <f t="shared" si="53"/>
        <v>Wed</v>
      </c>
    </row>
    <row r="562" spans="1:17" x14ac:dyDescent="0.3">
      <c r="A562" s="2">
        <v>46156</v>
      </c>
      <c r="B562" s="3" t="s">
        <v>608</v>
      </c>
      <c r="C562" s="3" t="s">
        <v>91</v>
      </c>
      <c r="D562" s="3" t="s">
        <v>53</v>
      </c>
      <c r="E562" s="3" t="s">
        <v>20</v>
      </c>
      <c r="F562" s="3" t="s">
        <v>21</v>
      </c>
      <c r="G562" s="3">
        <v>62</v>
      </c>
      <c r="H562" s="4">
        <v>3000</v>
      </c>
      <c r="I562" s="4">
        <v>3700</v>
      </c>
      <c r="J562" s="3" t="s">
        <v>16</v>
      </c>
      <c r="K562" s="3" t="s">
        <v>17</v>
      </c>
      <c r="L562">
        <f t="shared" si="51"/>
        <v>2026</v>
      </c>
      <c r="M562">
        <f t="shared" si="48"/>
        <v>5</v>
      </c>
      <c r="N562" t="str">
        <f t="shared" si="49"/>
        <v>May</v>
      </c>
      <c r="O562" t="str">
        <f t="shared" si="50"/>
        <v>2026-05</v>
      </c>
      <c r="P562" t="str">
        <f t="shared" si="52"/>
        <v>2026-W20</v>
      </c>
      <c r="Q562" t="str">
        <f t="shared" si="53"/>
        <v>Thu</v>
      </c>
    </row>
    <row r="563" spans="1:17" x14ac:dyDescent="0.3">
      <c r="A563" s="2">
        <v>46157</v>
      </c>
      <c r="B563" s="3" t="s">
        <v>609</v>
      </c>
      <c r="C563" s="3" t="s">
        <v>43</v>
      </c>
      <c r="D563" s="3" t="s">
        <v>26</v>
      </c>
      <c r="E563" s="3" t="s">
        <v>41</v>
      </c>
      <c r="F563" s="3" t="s">
        <v>21</v>
      </c>
      <c r="G563" s="3">
        <v>73</v>
      </c>
      <c r="H563" s="4">
        <v>3456</v>
      </c>
      <c r="I563" s="4">
        <v>3100</v>
      </c>
      <c r="J563" s="3" t="s">
        <v>22</v>
      </c>
      <c r="K563" s="3" t="s">
        <v>17</v>
      </c>
      <c r="L563">
        <f t="shared" si="51"/>
        <v>2026</v>
      </c>
      <c r="M563">
        <f t="shared" si="48"/>
        <v>5</v>
      </c>
      <c r="N563" t="str">
        <f t="shared" si="49"/>
        <v>May</v>
      </c>
      <c r="O563" t="str">
        <f t="shared" si="50"/>
        <v>2026-05</v>
      </c>
      <c r="P563" t="str">
        <f t="shared" si="52"/>
        <v>2026-W20</v>
      </c>
      <c r="Q563" t="str">
        <f t="shared" si="53"/>
        <v>Fri</v>
      </c>
    </row>
    <row r="564" spans="1:17" x14ac:dyDescent="0.3">
      <c r="A564" s="2">
        <v>46157</v>
      </c>
      <c r="B564" s="3" t="s">
        <v>610</v>
      </c>
      <c r="C564" s="3" t="s">
        <v>91</v>
      </c>
      <c r="D564" s="3" t="s">
        <v>53</v>
      </c>
      <c r="E564" s="3" t="s">
        <v>14</v>
      </c>
      <c r="F564" s="3" t="s">
        <v>15</v>
      </c>
      <c r="G564" s="3">
        <v>54</v>
      </c>
      <c r="H564" s="4">
        <v>3231</v>
      </c>
      <c r="I564" s="4">
        <v>2800</v>
      </c>
      <c r="J564" s="3" t="s">
        <v>22</v>
      </c>
      <c r="K564" s="3" t="s">
        <v>30</v>
      </c>
      <c r="L564">
        <f t="shared" si="51"/>
        <v>2026</v>
      </c>
      <c r="M564">
        <f t="shared" si="48"/>
        <v>5</v>
      </c>
      <c r="N564" t="str">
        <f t="shared" si="49"/>
        <v>May</v>
      </c>
      <c r="O564" t="str">
        <f t="shared" si="50"/>
        <v>2026-05</v>
      </c>
      <c r="P564" t="str">
        <f t="shared" si="52"/>
        <v>2026-W20</v>
      </c>
      <c r="Q564" t="str">
        <f t="shared" si="53"/>
        <v>Fri</v>
      </c>
    </row>
    <row r="565" spans="1:17" x14ac:dyDescent="0.3">
      <c r="A565" s="2">
        <v>46158</v>
      </c>
      <c r="B565" s="3" t="s">
        <v>611</v>
      </c>
      <c r="C565" s="3" t="s">
        <v>12</v>
      </c>
      <c r="D565" s="3" t="s">
        <v>26</v>
      </c>
      <c r="E565" s="3" t="s">
        <v>44</v>
      </c>
      <c r="F565" s="3" t="s">
        <v>34</v>
      </c>
      <c r="G565" s="3">
        <v>47</v>
      </c>
      <c r="H565" s="4">
        <v>3127</v>
      </c>
      <c r="I565" s="4">
        <v>2800</v>
      </c>
      <c r="J565" s="3" t="s">
        <v>22</v>
      </c>
      <c r="K565" s="3" t="s">
        <v>36</v>
      </c>
      <c r="L565">
        <f t="shared" si="51"/>
        <v>2026</v>
      </c>
      <c r="M565">
        <f t="shared" si="48"/>
        <v>5</v>
      </c>
      <c r="N565" t="str">
        <f t="shared" si="49"/>
        <v>May</v>
      </c>
      <c r="O565" t="str">
        <f t="shared" si="50"/>
        <v>2026-05</v>
      </c>
      <c r="P565" t="str">
        <f t="shared" si="52"/>
        <v>2026-W20</v>
      </c>
      <c r="Q565" t="str">
        <f t="shared" si="53"/>
        <v>Sat</v>
      </c>
    </row>
    <row r="566" spans="1:17" x14ac:dyDescent="0.3">
      <c r="A566" s="2">
        <v>46158</v>
      </c>
      <c r="B566" s="3" t="s">
        <v>612</v>
      </c>
      <c r="C566" s="3" t="s">
        <v>32</v>
      </c>
      <c r="D566" s="3" t="s">
        <v>19</v>
      </c>
      <c r="E566" s="3" t="s">
        <v>20</v>
      </c>
      <c r="F566" s="3" t="s">
        <v>21</v>
      </c>
      <c r="G566" s="3">
        <v>90</v>
      </c>
      <c r="H566" s="4">
        <v>3563</v>
      </c>
      <c r="I566" s="4">
        <v>3500</v>
      </c>
      <c r="J566" s="3" t="s">
        <v>22</v>
      </c>
      <c r="K566" s="3" t="s">
        <v>30</v>
      </c>
      <c r="L566">
        <f t="shared" si="51"/>
        <v>2026</v>
      </c>
      <c r="M566">
        <f t="shared" si="48"/>
        <v>5</v>
      </c>
      <c r="N566" t="str">
        <f t="shared" si="49"/>
        <v>May</v>
      </c>
      <c r="O566" t="str">
        <f t="shared" si="50"/>
        <v>2026-05</v>
      </c>
      <c r="P566" t="str">
        <f t="shared" si="52"/>
        <v>2026-W20</v>
      </c>
      <c r="Q566" t="str">
        <f t="shared" si="53"/>
        <v>Sat</v>
      </c>
    </row>
    <row r="567" spans="1:17" x14ac:dyDescent="0.3">
      <c r="A567" s="2">
        <v>46158</v>
      </c>
      <c r="B567" s="3" t="s">
        <v>613</v>
      </c>
      <c r="C567" s="3" t="s">
        <v>32</v>
      </c>
      <c r="D567" s="3" t="s">
        <v>47</v>
      </c>
      <c r="E567" s="3" t="s">
        <v>44</v>
      </c>
      <c r="F567" s="3" t="s">
        <v>34</v>
      </c>
      <c r="G567" s="3">
        <v>104</v>
      </c>
      <c r="H567" s="4">
        <v>7092</v>
      </c>
      <c r="I567" s="4">
        <v>8400</v>
      </c>
      <c r="J567" s="3" t="s">
        <v>22</v>
      </c>
      <c r="K567" s="3" t="s">
        <v>36</v>
      </c>
      <c r="L567">
        <f t="shared" si="51"/>
        <v>2026</v>
      </c>
      <c r="M567">
        <f t="shared" si="48"/>
        <v>5</v>
      </c>
      <c r="N567" t="str">
        <f t="shared" si="49"/>
        <v>May</v>
      </c>
      <c r="O567" t="str">
        <f t="shared" si="50"/>
        <v>2026-05</v>
      </c>
      <c r="P567" t="str">
        <f t="shared" si="52"/>
        <v>2026-W20</v>
      </c>
      <c r="Q567" t="str">
        <f t="shared" si="53"/>
        <v>Sat</v>
      </c>
    </row>
    <row r="568" spans="1:17" x14ac:dyDescent="0.3">
      <c r="A568" s="2">
        <v>46158</v>
      </c>
      <c r="B568" s="3" t="s">
        <v>614</v>
      </c>
      <c r="C568" s="3" t="s">
        <v>43</v>
      </c>
      <c r="D568" s="3" t="s">
        <v>26</v>
      </c>
      <c r="E568" s="3" t="s">
        <v>14</v>
      </c>
      <c r="F568" s="3" t="s">
        <v>15</v>
      </c>
      <c r="G568" s="3">
        <v>53</v>
      </c>
      <c r="H568" s="4">
        <v>2766</v>
      </c>
      <c r="I568" s="4">
        <v>2700</v>
      </c>
      <c r="J568" s="3" t="s">
        <v>22</v>
      </c>
      <c r="K568" s="3" t="s">
        <v>36</v>
      </c>
      <c r="L568">
        <f t="shared" si="51"/>
        <v>2026</v>
      </c>
      <c r="M568">
        <f t="shared" si="48"/>
        <v>5</v>
      </c>
      <c r="N568" t="str">
        <f t="shared" si="49"/>
        <v>May</v>
      </c>
      <c r="O568" t="str">
        <f t="shared" si="50"/>
        <v>2026-05</v>
      </c>
      <c r="P568" t="str">
        <f t="shared" si="52"/>
        <v>2026-W20</v>
      </c>
      <c r="Q568" t="str">
        <f t="shared" si="53"/>
        <v>Sat</v>
      </c>
    </row>
    <row r="569" spans="1:17" x14ac:dyDescent="0.3">
      <c r="A569" s="2">
        <v>46158</v>
      </c>
      <c r="B569" s="3" t="s">
        <v>615</v>
      </c>
      <c r="C569" s="3" t="s">
        <v>43</v>
      </c>
      <c r="D569" s="3" t="s">
        <v>26</v>
      </c>
      <c r="E569" s="3" t="s">
        <v>48</v>
      </c>
      <c r="F569" s="3" t="s">
        <v>15</v>
      </c>
      <c r="G569" s="3">
        <v>94</v>
      </c>
      <c r="H569" s="4">
        <v>5043</v>
      </c>
      <c r="I569" s="4">
        <v>4700</v>
      </c>
      <c r="J569" s="3" t="s">
        <v>22</v>
      </c>
      <c r="K569" s="3" t="s">
        <v>17</v>
      </c>
      <c r="L569">
        <f t="shared" si="51"/>
        <v>2026</v>
      </c>
      <c r="M569">
        <f t="shared" si="48"/>
        <v>5</v>
      </c>
      <c r="N569" t="str">
        <f t="shared" si="49"/>
        <v>May</v>
      </c>
      <c r="O569" t="str">
        <f t="shared" si="50"/>
        <v>2026-05</v>
      </c>
      <c r="P569" t="str">
        <f t="shared" si="52"/>
        <v>2026-W20</v>
      </c>
      <c r="Q569" t="str">
        <f t="shared" si="53"/>
        <v>Sat</v>
      </c>
    </row>
    <row r="570" spans="1:17" x14ac:dyDescent="0.3">
      <c r="A570" s="2">
        <v>46158</v>
      </c>
      <c r="B570" s="3" t="s">
        <v>616</v>
      </c>
      <c r="C570" s="3" t="s">
        <v>38</v>
      </c>
      <c r="D570" s="3" t="s">
        <v>65</v>
      </c>
      <c r="E570" s="3" t="s">
        <v>14</v>
      </c>
      <c r="F570" s="3" t="s">
        <v>15</v>
      </c>
      <c r="G570" s="3">
        <v>22</v>
      </c>
      <c r="H570" s="4">
        <v>1454</v>
      </c>
      <c r="I570" s="4">
        <v>1500</v>
      </c>
      <c r="J570" s="3" t="s">
        <v>16</v>
      </c>
      <c r="K570" s="3" t="s">
        <v>36</v>
      </c>
      <c r="L570">
        <f t="shared" si="51"/>
        <v>2026</v>
      </c>
      <c r="M570">
        <f t="shared" si="48"/>
        <v>5</v>
      </c>
      <c r="N570" t="str">
        <f t="shared" si="49"/>
        <v>May</v>
      </c>
      <c r="O570" t="str">
        <f t="shared" si="50"/>
        <v>2026-05</v>
      </c>
      <c r="P570" t="str">
        <f t="shared" si="52"/>
        <v>2026-W20</v>
      </c>
      <c r="Q570" t="str">
        <f t="shared" si="53"/>
        <v>Sat</v>
      </c>
    </row>
    <row r="571" spans="1:17" x14ac:dyDescent="0.3">
      <c r="A571" s="2">
        <v>46158</v>
      </c>
      <c r="B571" s="3" t="s">
        <v>617</v>
      </c>
      <c r="C571" s="3" t="s">
        <v>43</v>
      </c>
      <c r="D571" s="3" t="s">
        <v>26</v>
      </c>
      <c r="E571" s="3" t="s">
        <v>20</v>
      </c>
      <c r="F571" s="3" t="s">
        <v>21</v>
      </c>
      <c r="G571" s="3">
        <v>59</v>
      </c>
      <c r="H571" s="4">
        <v>2105</v>
      </c>
      <c r="I571" s="4">
        <v>2500</v>
      </c>
      <c r="J571" s="3" t="s">
        <v>22</v>
      </c>
      <c r="K571" s="3" t="s">
        <v>17</v>
      </c>
      <c r="L571">
        <f t="shared" si="51"/>
        <v>2026</v>
      </c>
      <c r="M571">
        <f t="shared" si="48"/>
        <v>5</v>
      </c>
      <c r="N571" t="str">
        <f t="shared" si="49"/>
        <v>May</v>
      </c>
      <c r="O571" t="str">
        <f t="shared" si="50"/>
        <v>2026-05</v>
      </c>
      <c r="P571" t="str">
        <f t="shared" si="52"/>
        <v>2026-W20</v>
      </c>
      <c r="Q571" t="str">
        <f t="shared" si="53"/>
        <v>Sat</v>
      </c>
    </row>
    <row r="572" spans="1:17" x14ac:dyDescent="0.3">
      <c r="A572" s="2">
        <v>46159</v>
      </c>
      <c r="B572" s="3" t="s">
        <v>618</v>
      </c>
      <c r="C572" s="3" t="s">
        <v>43</v>
      </c>
      <c r="D572" s="3" t="s">
        <v>53</v>
      </c>
      <c r="E572" s="3" t="s">
        <v>33</v>
      </c>
      <c r="F572" s="3" t="s">
        <v>34</v>
      </c>
      <c r="G572" s="3">
        <v>10</v>
      </c>
      <c r="H572" s="4">
        <v>585</v>
      </c>
      <c r="I572" s="4">
        <v>500</v>
      </c>
      <c r="J572" s="3" t="s">
        <v>22</v>
      </c>
      <c r="K572" s="3" t="s">
        <v>23</v>
      </c>
      <c r="L572">
        <f t="shared" si="51"/>
        <v>2026</v>
      </c>
      <c r="M572">
        <f t="shared" si="48"/>
        <v>5</v>
      </c>
      <c r="N572" t="str">
        <f t="shared" si="49"/>
        <v>May</v>
      </c>
      <c r="O572" t="str">
        <f t="shared" si="50"/>
        <v>2026-05</v>
      </c>
      <c r="P572" t="str">
        <f t="shared" si="52"/>
        <v>2026-W20</v>
      </c>
      <c r="Q572" t="str">
        <f t="shared" si="53"/>
        <v>Sun</v>
      </c>
    </row>
    <row r="573" spans="1:17" x14ac:dyDescent="0.3">
      <c r="A573" s="2">
        <v>46159</v>
      </c>
      <c r="B573" s="3" t="s">
        <v>619</v>
      </c>
      <c r="C573" s="3" t="s">
        <v>12</v>
      </c>
      <c r="D573" s="3" t="s">
        <v>47</v>
      </c>
      <c r="E573" s="3" t="s">
        <v>41</v>
      </c>
      <c r="F573" s="3" t="s">
        <v>21</v>
      </c>
      <c r="G573" s="3">
        <v>27</v>
      </c>
      <c r="H573" s="4">
        <v>1069</v>
      </c>
      <c r="I573" s="4">
        <v>900</v>
      </c>
      <c r="J573" s="3" t="s">
        <v>22</v>
      </c>
      <c r="K573" s="3" t="s">
        <v>30</v>
      </c>
      <c r="L573">
        <f t="shared" si="51"/>
        <v>2026</v>
      </c>
      <c r="M573">
        <f t="shared" si="48"/>
        <v>5</v>
      </c>
      <c r="N573" t="str">
        <f t="shared" si="49"/>
        <v>May</v>
      </c>
      <c r="O573" t="str">
        <f t="shared" si="50"/>
        <v>2026-05</v>
      </c>
      <c r="P573" t="str">
        <f t="shared" si="52"/>
        <v>2026-W20</v>
      </c>
      <c r="Q573" t="str">
        <f t="shared" si="53"/>
        <v>Sun</v>
      </c>
    </row>
    <row r="574" spans="1:17" x14ac:dyDescent="0.3">
      <c r="A574" s="2">
        <v>46159</v>
      </c>
      <c r="B574" s="3" t="s">
        <v>620</v>
      </c>
      <c r="C574" s="3" t="s">
        <v>43</v>
      </c>
      <c r="D574" s="3" t="s">
        <v>26</v>
      </c>
      <c r="E574" s="3" t="s">
        <v>68</v>
      </c>
      <c r="F574" s="3" t="s">
        <v>34</v>
      </c>
      <c r="G574" s="3">
        <v>25</v>
      </c>
      <c r="H574" s="4">
        <v>1729</v>
      </c>
      <c r="I574" s="4">
        <v>2000</v>
      </c>
      <c r="J574" s="3" t="s">
        <v>22</v>
      </c>
      <c r="K574" s="3" t="s">
        <v>30</v>
      </c>
      <c r="L574">
        <f t="shared" si="51"/>
        <v>2026</v>
      </c>
      <c r="M574">
        <f t="shared" si="48"/>
        <v>5</v>
      </c>
      <c r="N574" t="str">
        <f t="shared" si="49"/>
        <v>May</v>
      </c>
      <c r="O574" t="str">
        <f t="shared" si="50"/>
        <v>2026-05</v>
      </c>
      <c r="P574" t="str">
        <f t="shared" si="52"/>
        <v>2026-W20</v>
      </c>
      <c r="Q574" t="str">
        <f t="shared" si="53"/>
        <v>Sun</v>
      </c>
    </row>
    <row r="575" spans="1:17" x14ac:dyDescent="0.3">
      <c r="A575" s="2">
        <v>46160</v>
      </c>
      <c r="B575" s="3" t="s">
        <v>621</v>
      </c>
      <c r="C575" s="3" t="s">
        <v>38</v>
      </c>
      <c r="D575" s="3" t="s">
        <v>13</v>
      </c>
      <c r="E575" s="3" t="s">
        <v>68</v>
      </c>
      <c r="F575" s="3" t="s">
        <v>34</v>
      </c>
      <c r="G575" s="3">
        <v>10</v>
      </c>
      <c r="H575" s="4">
        <v>756</v>
      </c>
      <c r="I575" s="4">
        <v>900</v>
      </c>
      <c r="J575" s="3" t="s">
        <v>22</v>
      </c>
      <c r="K575" s="3" t="s">
        <v>17</v>
      </c>
      <c r="L575">
        <f t="shared" si="51"/>
        <v>2026</v>
      </c>
      <c r="M575">
        <f t="shared" si="48"/>
        <v>5</v>
      </c>
      <c r="N575" t="str">
        <f t="shared" si="49"/>
        <v>May</v>
      </c>
      <c r="O575" t="str">
        <f t="shared" si="50"/>
        <v>2026-05</v>
      </c>
      <c r="P575" t="str">
        <f t="shared" si="52"/>
        <v>2026-W21</v>
      </c>
      <c r="Q575" t="str">
        <f t="shared" si="53"/>
        <v>Mon</v>
      </c>
    </row>
    <row r="576" spans="1:17" x14ac:dyDescent="0.3">
      <c r="A576" s="2">
        <v>46161</v>
      </c>
      <c r="B576" s="3" t="s">
        <v>622</v>
      </c>
      <c r="C576" s="3" t="s">
        <v>91</v>
      </c>
      <c r="D576" s="3" t="s">
        <v>19</v>
      </c>
      <c r="E576" s="3" t="s">
        <v>20</v>
      </c>
      <c r="F576" s="3" t="s">
        <v>21</v>
      </c>
      <c r="G576" s="3">
        <v>100</v>
      </c>
      <c r="H576" s="4">
        <v>4858</v>
      </c>
      <c r="I576" s="4">
        <v>4900</v>
      </c>
      <c r="J576" s="3" t="s">
        <v>22</v>
      </c>
      <c r="K576" s="3" t="s">
        <v>30</v>
      </c>
      <c r="L576">
        <f t="shared" si="51"/>
        <v>2026</v>
      </c>
      <c r="M576">
        <f t="shared" si="48"/>
        <v>5</v>
      </c>
      <c r="N576" t="str">
        <f t="shared" si="49"/>
        <v>May</v>
      </c>
      <c r="O576" t="str">
        <f t="shared" si="50"/>
        <v>2026-05</v>
      </c>
      <c r="P576" t="str">
        <f t="shared" si="52"/>
        <v>2026-W21</v>
      </c>
      <c r="Q576" t="str">
        <f t="shared" si="53"/>
        <v>Tue</v>
      </c>
    </row>
    <row r="577" spans="1:17" x14ac:dyDescent="0.3">
      <c r="A577" s="2">
        <v>46162</v>
      </c>
      <c r="B577" s="3" t="s">
        <v>623</v>
      </c>
      <c r="C577" s="3" t="s">
        <v>57</v>
      </c>
      <c r="D577" s="3" t="s">
        <v>47</v>
      </c>
      <c r="E577" s="3" t="s">
        <v>20</v>
      </c>
      <c r="F577" s="3" t="s">
        <v>21</v>
      </c>
      <c r="G577" s="3">
        <v>115</v>
      </c>
      <c r="H577" s="4">
        <v>5694</v>
      </c>
      <c r="I577" s="4">
        <v>5000</v>
      </c>
      <c r="J577" s="3" t="s">
        <v>22</v>
      </c>
      <c r="K577" s="3" t="s">
        <v>30</v>
      </c>
      <c r="L577">
        <f t="shared" si="51"/>
        <v>2026</v>
      </c>
      <c r="M577">
        <f t="shared" si="48"/>
        <v>5</v>
      </c>
      <c r="N577" t="str">
        <f t="shared" si="49"/>
        <v>May</v>
      </c>
      <c r="O577" t="str">
        <f t="shared" si="50"/>
        <v>2026-05</v>
      </c>
      <c r="P577" t="str">
        <f t="shared" si="52"/>
        <v>2026-W21</v>
      </c>
      <c r="Q577" t="str">
        <f t="shared" si="53"/>
        <v>Wed</v>
      </c>
    </row>
    <row r="578" spans="1:17" x14ac:dyDescent="0.3">
      <c r="A578" s="2">
        <v>46162</v>
      </c>
      <c r="B578" s="3" t="s">
        <v>624</v>
      </c>
      <c r="C578" s="3" t="s">
        <v>12</v>
      </c>
      <c r="D578" s="3" t="s">
        <v>26</v>
      </c>
      <c r="E578" s="3" t="s">
        <v>27</v>
      </c>
      <c r="F578" s="3" t="s">
        <v>15</v>
      </c>
      <c r="G578" s="3">
        <v>57</v>
      </c>
      <c r="H578" s="4">
        <v>2822</v>
      </c>
      <c r="I578" s="4">
        <v>2500</v>
      </c>
      <c r="J578" s="3" t="s">
        <v>22</v>
      </c>
      <c r="K578" s="3" t="s">
        <v>36</v>
      </c>
      <c r="L578">
        <f t="shared" si="51"/>
        <v>2026</v>
      </c>
      <c r="M578">
        <f t="shared" ref="M578:M641" si="54">MONTH($A578)</f>
        <v>5</v>
      </c>
      <c r="N578" t="str">
        <f t="shared" ref="N578:N641" si="55">TEXT($A578,"mmm")</f>
        <v>May</v>
      </c>
      <c r="O578" t="str">
        <f t="shared" ref="O578:O641" si="56">YEAR($A578)&amp;"-"&amp;TEXT(MONTH($A578),"00")</f>
        <v>2026-05</v>
      </c>
      <c r="P578" t="str">
        <f t="shared" si="52"/>
        <v>2026-W21</v>
      </c>
      <c r="Q578" t="str">
        <f t="shared" si="53"/>
        <v>Wed</v>
      </c>
    </row>
    <row r="579" spans="1:17" x14ac:dyDescent="0.3">
      <c r="A579" s="2">
        <v>46162</v>
      </c>
      <c r="B579" s="3" t="s">
        <v>625</v>
      </c>
      <c r="C579" s="3" t="s">
        <v>25</v>
      </c>
      <c r="D579" s="3" t="s">
        <v>65</v>
      </c>
      <c r="E579" s="3" t="s">
        <v>48</v>
      </c>
      <c r="F579" s="3" t="s">
        <v>15</v>
      </c>
      <c r="G579" s="3">
        <v>17</v>
      </c>
      <c r="H579" s="4">
        <v>828</v>
      </c>
      <c r="I579" s="4">
        <v>700</v>
      </c>
      <c r="J579" s="3" t="s">
        <v>22</v>
      </c>
      <c r="K579" s="3" t="s">
        <v>30</v>
      </c>
      <c r="L579">
        <f t="shared" ref="L579:L642" si="57">YEAR($A579)</f>
        <v>2026</v>
      </c>
      <c r="M579">
        <f t="shared" si="54"/>
        <v>5</v>
      </c>
      <c r="N579" t="str">
        <f t="shared" si="55"/>
        <v>May</v>
      </c>
      <c r="O579" t="str">
        <f t="shared" si="56"/>
        <v>2026-05</v>
      </c>
      <c r="P579" t="str">
        <f t="shared" ref="P579:P642" si="58">YEAR($A579)&amp;"-W"&amp;TEXT(WEEKNUM($A579,2),"00")</f>
        <v>2026-W21</v>
      </c>
      <c r="Q579" t="str">
        <f t="shared" ref="Q579:Q642" si="59">CHOOSE(WEEKDAY($A579,2),"Mon","Tue","Wed","Thu","Fri","Sat","Sun")</f>
        <v>Wed</v>
      </c>
    </row>
    <row r="580" spans="1:17" x14ac:dyDescent="0.3">
      <c r="A580" s="2">
        <v>46162</v>
      </c>
      <c r="B580" s="3" t="s">
        <v>626</v>
      </c>
      <c r="C580" s="3" t="s">
        <v>43</v>
      </c>
      <c r="D580" s="3" t="s">
        <v>26</v>
      </c>
      <c r="E580" s="3" t="s">
        <v>14</v>
      </c>
      <c r="F580" s="3" t="s">
        <v>15</v>
      </c>
      <c r="G580" s="3">
        <v>10</v>
      </c>
      <c r="H580" s="4">
        <v>543</v>
      </c>
      <c r="I580" s="4">
        <v>500</v>
      </c>
      <c r="J580" s="3" t="s">
        <v>22</v>
      </c>
      <c r="K580" s="3" t="s">
        <v>30</v>
      </c>
      <c r="L580">
        <f t="shared" si="57"/>
        <v>2026</v>
      </c>
      <c r="M580">
        <f t="shared" si="54"/>
        <v>5</v>
      </c>
      <c r="N580" t="str">
        <f t="shared" si="55"/>
        <v>May</v>
      </c>
      <c r="O580" t="str">
        <f t="shared" si="56"/>
        <v>2026-05</v>
      </c>
      <c r="P580" t="str">
        <f t="shared" si="58"/>
        <v>2026-W21</v>
      </c>
      <c r="Q580" t="str">
        <f t="shared" si="59"/>
        <v>Wed</v>
      </c>
    </row>
    <row r="581" spans="1:17" x14ac:dyDescent="0.3">
      <c r="A581" s="2">
        <v>46163</v>
      </c>
      <c r="B581" s="3" t="s">
        <v>627</v>
      </c>
      <c r="C581" s="3" t="s">
        <v>32</v>
      </c>
      <c r="D581" s="3" t="s">
        <v>26</v>
      </c>
      <c r="E581" s="3" t="s">
        <v>48</v>
      </c>
      <c r="F581" s="3" t="s">
        <v>15</v>
      </c>
      <c r="G581" s="3">
        <v>25</v>
      </c>
      <c r="H581" s="4">
        <v>1246</v>
      </c>
      <c r="I581" s="4">
        <v>1300</v>
      </c>
      <c r="J581" s="3" t="s">
        <v>22</v>
      </c>
      <c r="K581" s="3" t="s">
        <v>23</v>
      </c>
      <c r="L581">
        <f t="shared" si="57"/>
        <v>2026</v>
      </c>
      <c r="M581">
        <f t="shared" si="54"/>
        <v>5</v>
      </c>
      <c r="N581" t="str">
        <f t="shared" si="55"/>
        <v>May</v>
      </c>
      <c r="O581" t="str">
        <f t="shared" si="56"/>
        <v>2026-05</v>
      </c>
      <c r="P581" t="str">
        <f t="shared" si="58"/>
        <v>2026-W21</v>
      </c>
      <c r="Q581" t="str">
        <f t="shared" si="59"/>
        <v>Thu</v>
      </c>
    </row>
    <row r="582" spans="1:17" x14ac:dyDescent="0.3">
      <c r="A582" s="2">
        <v>46163</v>
      </c>
      <c r="B582" s="3" t="s">
        <v>628</v>
      </c>
      <c r="C582" s="3" t="s">
        <v>43</v>
      </c>
      <c r="D582" s="3" t="s">
        <v>26</v>
      </c>
      <c r="E582" s="3" t="s">
        <v>41</v>
      </c>
      <c r="F582" s="3" t="s">
        <v>21</v>
      </c>
      <c r="G582" s="3">
        <v>20</v>
      </c>
      <c r="H582" s="4">
        <v>953</v>
      </c>
      <c r="I582" s="4">
        <v>1200</v>
      </c>
      <c r="J582" s="3" t="s">
        <v>22</v>
      </c>
      <c r="K582" s="3" t="s">
        <v>23</v>
      </c>
      <c r="L582">
        <f t="shared" si="57"/>
        <v>2026</v>
      </c>
      <c r="M582">
        <f t="shared" si="54"/>
        <v>5</v>
      </c>
      <c r="N582" t="str">
        <f t="shared" si="55"/>
        <v>May</v>
      </c>
      <c r="O582" t="str">
        <f t="shared" si="56"/>
        <v>2026-05</v>
      </c>
      <c r="P582" t="str">
        <f t="shared" si="58"/>
        <v>2026-W21</v>
      </c>
      <c r="Q582" t="str">
        <f t="shared" si="59"/>
        <v>Thu</v>
      </c>
    </row>
    <row r="583" spans="1:17" x14ac:dyDescent="0.3">
      <c r="A583" s="2">
        <v>46163</v>
      </c>
      <c r="B583" s="3" t="s">
        <v>629</v>
      </c>
      <c r="C583" s="3" t="s">
        <v>38</v>
      </c>
      <c r="D583" s="3" t="s">
        <v>13</v>
      </c>
      <c r="E583" s="3" t="s">
        <v>68</v>
      </c>
      <c r="F583" s="3" t="s">
        <v>34</v>
      </c>
      <c r="G583" s="3">
        <v>18</v>
      </c>
      <c r="H583" s="4">
        <v>1377</v>
      </c>
      <c r="I583" s="4">
        <v>1200</v>
      </c>
      <c r="J583" s="3" t="s">
        <v>22</v>
      </c>
      <c r="K583" s="3" t="s">
        <v>17</v>
      </c>
      <c r="L583">
        <f t="shared" si="57"/>
        <v>2026</v>
      </c>
      <c r="M583">
        <f t="shared" si="54"/>
        <v>5</v>
      </c>
      <c r="N583" t="str">
        <f t="shared" si="55"/>
        <v>May</v>
      </c>
      <c r="O583" t="str">
        <f t="shared" si="56"/>
        <v>2026-05</v>
      </c>
      <c r="P583" t="str">
        <f t="shared" si="58"/>
        <v>2026-W21</v>
      </c>
      <c r="Q583" t="str">
        <f t="shared" si="59"/>
        <v>Thu</v>
      </c>
    </row>
    <row r="584" spans="1:17" x14ac:dyDescent="0.3">
      <c r="A584" s="2">
        <v>46163</v>
      </c>
      <c r="B584" s="3" t="s">
        <v>630</v>
      </c>
      <c r="C584" s="3" t="s">
        <v>25</v>
      </c>
      <c r="D584" s="3" t="s">
        <v>19</v>
      </c>
      <c r="E584" s="3" t="s">
        <v>20</v>
      </c>
      <c r="F584" s="3" t="s">
        <v>21</v>
      </c>
      <c r="G584" s="3">
        <v>56</v>
      </c>
      <c r="H584" s="4">
        <v>2682</v>
      </c>
      <c r="I584" s="4">
        <v>2700</v>
      </c>
      <c r="J584" s="3" t="s">
        <v>22</v>
      </c>
      <c r="K584" s="3" t="s">
        <v>36</v>
      </c>
      <c r="L584">
        <f t="shared" si="57"/>
        <v>2026</v>
      </c>
      <c r="M584">
        <f t="shared" si="54"/>
        <v>5</v>
      </c>
      <c r="N584" t="str">
        <f t="shared" si="55"/>
        <v>May</v>
      </c>
      <c r="O584" t="str">
        <f t="shared" si="56"/>
        <v>2026-05</v>
      </c>
      <c r="P584" t="str">
        <f t="shared" si="58"/>
        <v>2026-W21</v>
      </c>
      <c r="Q584" t="str">
        <f t="shared" si="59"/>
        <v>Thu</v>
      </c>
    </row>
    <row r="585" spans="1:17" x14ac:dyDescent="0.3">
      <c r="A585" s="2">
        <v>46164</v>
      </c>
      <c r="B585" s="3" t="s">
        <v>631</v>
      </c>
      <c r="C585" s="3" t="s">
        <v>43</v>
      </c>
      <c r="D585" s="3" t="s">
        <v>26</v>
      </c>
      <c r="E585" s="3" t="s">
        <v>14</v>
      </c>
      <c r="F585" s="3" t="s">
        <v>15</v>
      </c>
      <c r="G585" s="3">
        <v>90</v>
      </c>
      <c r="H585" s="4">
        <v>5218</v>
      </c>
      <c r="I585" s="4">
        <v>5000</v>
      </c>
      <c r="J585" s="3" t="s">
        <v>39</v>
      </c>
      <c r="K585" s="3" t="s">
        <v>30</v>
      </c>
      <c r="L585">
        <f t="shared" si="57"/>
        <v>2026</v>
      </c>
      <c r="M585">
        <f t="shared" si="54"/>
        <v>5</v>
      </c>
      <c r="N585" t="str">
        <f t="shared" si="55"/>
        <v>May</v>
      </c>
      <c r="O585" t="str">
        <f t="shared" si="56"/>
        <v>2026-05</v>
      </c>
      <c r="P585" t="str">
        <f t="shared" si="58"/>
        <v>2026-W21</v>
      </c>
      <c r="Q585" t="str">
        <f t="shared" si="59"/>
        <v>Fri</v>
      </c>
    </row>
    <row r="586" spans="1:17" x14ac:dyDescent="0.3">
      <c r="A586" s="2">
        <v>46164</v>
      </c>
      <c r="B586" s="3" t="s">
        <v>632</v>
      </c>
      <c r="C586" s="3" t="s">
        <v>57</v>
      </c>
      <c r="D586" s="3" t="s">
        <v>19</v>
      </c>
      <c r="E586" s="3" t="s">
        <v>48</v>
      </c>
      <c r="F586" s="3" t="s">
        <v>15</v>
      </c>
      <c r="G586" s="3">
        <v>7</v>
      </c>
      <c r="H586" s="4">
        <v>396</v>
      </c>
      <c r="I586" s="4">
        <v>400</v>
      </c>
      <c r="J586" s="3" t="s">
        <v>16</v>
      </c>
      <c r="K586" s="3" t="s">
        <v>23</v>
      </c>
      <c r="L586">
        <f t="shared" si="57"/>
        <v>2026</v>
      </c>
      <c r="M586">
        <f t="shared" si="54"/>
        <v>5</v>
      </c>
      <c r="N586" t="str">
        <f t="shared" si="55"/>
        <v>May</v>
      </c>
      <c r="O586" t="str">
        <f t="shared" si="56"/>
        <v>2026-05</v>
      </c>
      <c r="P586" t="str">
        <f t="shared" si="58"/>
        <v>2026-W21</v>
      </c>
      <c r="Q586" t="str">
        <f t="shared" si="59"/>
        <v>Fri</v>
      </c>
    </row>
    <row r="587" spans="1:17" x14ac:dyDescent="0.3">
      <c r="A587" s="2">
        <v>46167</v>
      </c>
      <c r="B587" s="3" t="s">
        <v>633</v>
      </c>
      <c r="C587" s="3" t="s">
        <v>43</v>
      </c>
      <c r="D587" s="3" t="s">
        <v>53</v>
      </c>
      <c r="E587" s="3" t="s">
        <v>48</v>
      </c>
      <c r="F587" s="3" t="s">
        <v>15</v>
      </c>
      <c r="G587" s="3">
        <v>9</v>
      </c>
      <c r="H587" s="4">
        <v>597</v>
      </c>
      <c r="I587" s="4">
        <v>700</v>
      </c>
      <c r="J587" s="3" t="s">
        <v>39</v>
      </c>
      <c r="K587" s="3" t="s">
        <v>36</v>
      </c>
      <c r="L587">
        <f t="shared" si="57"/>
        <v>2026</v>
      </c>
      <c r="M587">
        <f t="shared" si="54"/>
        <v>5</v>
      </c>
      <c r="N587" t="str">
        <f t="shared" si="55"/>
        <v>May</v>
      </c>
      <c r="O587" t="str">
        <f t="shared" si="56"/>
        <v>2026-05</v>
      </c>
      <c r="P587" t="str">
        <f t="shared" si="58"/>
        <v>2026-W22</v>
      </c>
      <c r="Q587" t="str">
        <f t="shared" si="59"/>
        <v>Mon</v>
      </c>
    </row>
    <row r="588" spans="1:17" x14ac:dyDescent="0.3">
      <c r="A588" s="2">
        <v>46167</v>
      </c>
      <c r="B588" s="3" t="s">
        <v>634</v>
      </c>
      <c r="C588" s="3" t="s">
        <v>57</v>
      </c>
      <c r="D588" s="3" t="s">
        <v>53</v>
      </c>
      <c r="E588" s="3" t="s">
        <v>27</v>
      </c>
      <c r="F588" s="3" t="s">
        <v>15</v>
      </c>
      <c r="G588" s="3">
        <v>8</v>
      </c>
      <c r="H588" s="4">
        <v>541</v>
      </c>
      <c r="I588" s="4">
        <v>500</v>
      </c>
      <c r="J588" s="3" t="s">
        <v>22</v>
      </c>
      <c r="K588" s="3" t="s">
        <v>30</v>
      </c>
      <c r="L588">
        <f t="shared" si="57"/>
        <v>2026</v>
      </c>
      <c r="M588">
        <f t="shared" si="54"/>
        <v>5</v>
      </c>
      <c r="N588" t="str">
        <f t="shared" si="55"/>
        <v>May</v>
      </c>
      <c r="O588" t="str">
        <f t="shared" si="56"/>
        <v>2026-05</v>
      </c>
      <c r="P588" t="str">
        <f t="shared" si="58"/>
        <v>2026-W22</v>
      </c>
      <c r="Q588" t="str">
        <f t="shared" si="59"/>
        <v>Mon</v>
      </c>
    </row>
    <row r="589" spans="1:17" x14ac:dyDescent="0.3">
      <c r="A589" s="2">
        <v>46167</v>
      </c>
      <c r="B589" s="3" t="s">
        <v>635</v>
      </c>
      <c r="C589" s="3" t="s">
        <v>43</v>
      </c>
      <c r="D589" s="3" t="s">
        <v>65</v>
      </c>
      <c r="E589" s="3" t="s">
        <v>48</v>
      </c>
      <c r="F589" s="3" t="s">
        <v>15</v>
      </c>
      <c r="G589" s="3">
        <v>64</v>
      </c>
      <c r="H589" s="4">
        <v>4214</v>
      </c>
      <c r="I589" s="4">
        <v>4300</v>
      </c>
      <c r="J589" s="3" t="s">
        <v>16</v>
      </c>
      <c r="K589" s="3" t="s">
        <v>17</v>
      </c>
      <c r="L589">
        <f t="shared" si="57"/>
        <v>2026</v>
      </c>
      <c r="M589">
        <f t="shared" si="54"/>
        <v>5</v>
      </c>
      <c r="N589" t="str">
        <f t="shared" si="55"/>
        <v>May</v>
      </c>
      <c r="O589" t="str">
        <f t="shared" si="56"/>
        <v>2026-05</v>
      </c>
      <c r="P589" t="str">
        <f t="shared" si="58"/>
        <v>2026-W22</v>
      </c>
      <c r="Q589" t="str">
        <f t="shared" si="59"/>
        <v>Mon</v>
      </c>
    </row>
    <row r="590" spans="1:17" x14ac:dyDescent="0.3">
      <c r="A590" s="2">
        <v>46167</v>
      </c>
      <c r="B590" s="3" t="s">
        <v>636</v>
      </c>
      <c r="C590" s="3" t="s">
        <v>43</v>
      </c>
      <c r="D590" s="3" t="s">
        <v>65</v>
      </c>
      <c r="E590" s="3" t="s">
        <v>29</v>
      </c>
      <c r="F590" s="3" t="s">
        <v>21</v>
      </c>
      <c r="G590" s="3">
        <v>97</v>
      </c>
      <c r="H590" s="4">
        <v>3683</v>
      </c>
      <c r="I590" s="4">
        <v>3800</v>
      </c>
      <c r="J590" s="3" t="s">
        <v>22</v>
      </c>
      <c r="K590" s="3" t="s">
        <v>36</v>
      </c>
      <c r="L590">
        <f t="shared" si="57"/>
        <v>2026</v>
      </c>
      <c r="M590">
        <f t="shared" si="54"/>
        <v>5</v>
      </c>
      <c r="N590" t="str">
        <f t="shared" si="55"/>
        <v>May</v>
      </c>
      <c r="O590" t="str">
        <f t="shared" si="56"/>
        <v>2026-05</v>
      </c>
      <c r="P590" t="str">
        <f t="shared" si="58"/>
        <v>2026-W22</v>
      </c>
      <c r="Q590" t="str">
        <f t="shared" si="59"/>
        <v>Mon</v>
      </c>
    </row>
    <row r="591" spans="1:17" x14ac:dyDescent="0.3">
      <c r="A591" s="2">
        <v>46167</v>
      </c>
      <c r="B591" s="3" t="s">
        <v>637</v>
      </c>
      <c r="C591" s="3" t="s">
        <v>91</v>
      </c>
      <c r="D591" s="3" t="s">
        <v>26</v>
      </c>
      <c r="E591" s="3" t="s">
        <v>48</v>
      </c>
      <c r="F591" s="3" t="s">
        <v>15</v>
      </c>
      <c r="G591" s="3">
        <v>80</v>
      </c>
      <c r="H591" s="4">
        <v>4381</v>
      </c>
      <c r="I591" s="4">
        <v>3500</v>
      </c>
      <c r="J591" s="3" t="s">
        <v>16</v>
      </c>
      <c r="K591" s="3" t="s">
        <v>36</v>
      </c>
      <c r="L591">
        <f t="shared" si="57"/>
        <v>2026</v>
      </c>
      <c r="M591">
        <f t="shared" si="54"/>
        <v>5</v>
      </c>
      <c r="N591" t="str">
        <f t="shared" si="55"/>
        <v>May</v>
      </c>
      <c r="O591" t="str">
        <f t="shared" si="56"/>
        <v>2026-05</v>
      </c>
      <c r="P591" t="str">
        <f t="shared" si="58"/>
        <v>2026-W22</v>
      </c>
      <c r="Q591" t="str">
        <f t="shared" si="59"/>
        <v>Mon</v>
      </c>
    </row>
    <row r="592" spans="1:17" x14ac:dyDescent="0.3">
      <c r="A592" s="2">
        <v>46168</v>
      </c>
      <c r="B592" s="3" t="s">
        <v>638</v>
      </c>
      <c r="C592" s="3" t="s">
        <v>32</v>
      </c>
      <c r="D592" s="3" t="s">
        <v>19</v>
      </c>
      <c r="E592" s="3" t="s">
        <v>58</v>
      </c>
      <c r="F592" s="3" t="s">
        <v>59</v>
      </c>
      <c r="G592" s="3">
        <v>12</v>
      </c>
      <c r="H592" s="4">
        <v>1251</v>
      </c>
      <c r="I592" s="4">
        <v>1300</v>
      </c>
      <c r="J592" s="3" t="s">
        <v>39</v>
      </c>
      <c r="K592" s="3" t="s">
        <v>17</v>
      </c>
      <c r="L592">
        <f t="shared" si="57"/>
        <v>2026</v>
      </c>
      <c r="M592">
        <f t="shared" si="54"/>
        <v>5</v>
      </c>
      <c r="N592" t="str">
        <f t="shared" si="55"/>
        <v>May</v>
      </c>
      <c r="O592" t="str">
        <f t="shared" si="56"/>
        <v>2026-05</v>
      </c>
      <c r="P592" t="str">
        <f t="shared" si="58"/>
        <v>2026-W22</v>
      </c>
      <c r="Q592" t="str">
        <f t="shared" si="59"/>
        <v>Tue</v>
      </c>
    </row>
    <row r="593" spans="1:17" x14ac:dyDescent="0.3">
      <c r="A593" s="2">
        <v>46168</v>
      </c>
      <c r="B593" s="3" t="s">
        <v>639</v>
      </c>
      <c r="C593" s="3" t="s">
        <v>91</v>
      </c>
      <c r="D593" s="3" t="s">
        <v>19</v>
      </c>
      <c r="E593" s="3" t="s">
        <v>41</v>
      </c>
      <c r="F593" s="3" t="s">
        <v>21</v>
      </c>
      <c r="G593" s="3">
        <v>77</v>
      </c>
      <c r="H593" s="4">
        <v>3585</v>
      </c>
      <c r="I593" s="4">
        <v>3300</v>
      </c>
      <c r="J593" s="3" t="s">
        <v>22</v>
      </c>
      <c r="K593" s="3" t="s">
        <v>23</v>
      </c>
      <c r="L593">
        <f t="shared" si="57"/>
        <v>2026</v>
      </c>
      <c r="M593">
        <f t="shared" si="54"/>
        <v>5</v>
      </c>
      <c r="N593" t="str">
        <f t="shared" si="55"/>
        <v>May</v>
      </c>
      <c r="O593" t="str">
        <f t="shared" si="56"/>
        <v>2026-05</v>
      </c>
      <c r="P593" t="str">
        <f t="shared" si="58"/>
        <v>2026-W22</v>
      </c>
      <c r="Q593" t="str">
        <f t="shared" si="59"/>
        <v>Tue</v>
      </c>
    </row>
    <row r="594" spans="1:17" x14ac:dyDescent="0.3">
      <c r="A594" s="2">
        <v>46168</v>
      </c>
      <c r="B594" s="3" t="s">
        <v>640</v>
      </c>
      <c r="C594" s="3" t="s">
        <v>43</v>
      </c>
      <c r="D594" s="3" t="s">
        <v>65</v>
      </c>
      <c r="E594" s="3" t="s">
        <v>33</v>
      </c>
      <c r="F594" s="3" t="s">
        <v>34</v>
      </c>
      <c r="G594" s="3">
        <v>54</v>
      </c>
      <c r="H594" s="4">
        <v>3160</v>
      </c>
      <c r="I594" s="4">
        <v>3600</v>
      </c>
      <c r="J594" s="3" t="s">
        <v>22</v>
      </c>
      <c r="K594" s="3" t="s">
        <v>17</v>
      </c>
      <c r="L594">
        <f t="shared" si="57"/>
        <v>2026</v>
      </c>
      <c r="M594">
        <f t="shared" si="54"/>
        <v>5</v>
      </c>
      <c r="N594" t="str">
        <f t="shared" si="55"/>
        <v>May</v>
      </c>
      <c r="O594" t="str">
        <f t="shared" si="56"/>
        <v>2026-05</v>
      </c>
      <c r="P594" t="str">
        <f t="shared" si="58"/>
        <v>2026-W22</v>
      </c>
      <c r="Q594" t="str">
        <f t="shared" si="59"/>
        <v>Tue</v>
      </c>
    </row>
    <row r="595" spans="1:17" x14ac:dyDescent="0.3">
      <c r="A595" s="2">
        <v>46168</v>
      </c>
      <c r="B595" s="3" t="s">
        <v>641</v>
      </c>
      <c r="C595" s="3" t="s">
        <v>50</v>
      </c>
      <c r="D595" s="3" t="s">
        <v>26</v>
      </c>
      <c r="E595" s="3" t="s">
        <v>27</v>
      </c>
      <c r="F595" s="3" t="s">
        <v>15</v>
      </c>
      <c r="G595" s="3">
        <v>54</v>
      </c>
      <c r="H595" s="4">
        <v>3483</v>
      </c>
      <c r="I595" s="4">
        <v>3600</v>
      </c>
      <c r="J595" s="3" t="s">
        <v>22</v>
      </c>
      <c r="K595" s="3" t="s">
        <v>36</v>
      </c>
      <c r="L595">
        <f t="shared" si="57"/>
        <v>2026</v>
      </c>
      <c r="M595">
        <f t="shared" si="54"/>
        <v>5</v>
      </c>
      <c r="N595" t="str">
        <f t="shared" si="55"/>
        <v>May</v>
      </c>
      <c r="O595" t="str">
        <f t="shared" si="56"/>
        <v>2026-05</v>
      </c>
      <c r="P595" t="str">
        <f t="shared" si="58"/>
        <v>2026-W22</v>
      </c>
      <c r="Q595" t="str">
        <f t="shared" si="59"/>
        <v>Tue</v>
      </c>
    </row>
    <row r="596" spans="1:17" x14ac:dyDescent="0.3">
      <c r="A596" s="2">
        <v>46168</v>
      </c>
      <c r="B596" s="3" t="s">
        <v>642</v>
      </c>
      <c r="C596" s="3" t="s">
        <v>57</v>
      </c>
      <c r="D596" s="3" t="s">
        <v>19</v>
      </c>
      <c r="E596" s="3" t="s">
        <v>61</v>
      </c>
      <c r="F596" s="3" t="s">
        <v>59</v>
      </c>
      <c r="G596" s="3">
        <v>94</v>
      </c>
      <c r="H596" s="4">
        <v>10456</v>
      </c>
      <c r="I596" s="4">
        <v>10100</v>
      </c>
      <c r="J596" s="3" t="s">
        <v>22</v>
      </c>
      <c r="K596" s="3" t="s">
        <v>36</v>
      </c>
      <c r="L596">
        <f t="shared" si="57"/>
        <v>2026</v>
      </c>
      <c r="M596">
        <f t="shared" si="54"/>
        <v>5</v>
      </c>
      <c r="N596" t="str">
        <f t="shared" si="55"/>
        <v>May</v>
      </c>
      <c r="O596" t="str">
        <f t="shared" si="56"/>
        <v>2026-05</v>
      </c>
      <c r="P596" t="str">
        <f t="shared" si="58"/>
        <v>2026-W22</v>
      </c>
      <c r="Q596" t="str">
        <f t="shared" si="59"/>
        <v>Tue</v>
      </c>
    </row>
    <row r="597" spans="1:17" x14ac:dyDescent="0.3">
      <c r="A597" s="2">
        <v>46169</v>
      </c>
      <c r="B597" s="3" t="s">
        <v>643</v>
      </c>
      <c r="C597" s="3" t="s">
        <v>25</v>
      </c>
      <c r="D597" s="3" t="s">
        <v>47</v>
      </c>
      <c r="E597" s="3" t="s">
        <v>44</v>
      </c>
      <c r="F597" s="3" t="s">
        <v>34</v>
      </c>
      <c r="G597" s="3">
        <v>98</v>
      </c>
      <c r="H597" s="4">
        <v>6397</v>
      </c>
      <c r="I597" s="4">
        <v>6900</v>
      </c>
      <c r="J597" s="3" t="s">
        <v>22</v>
      </c>
      <c r="K597" s="3" t="s">
        <v>23</v>
      </c>
      <c r="L597">
        <f t="shared" si="57"/>
        <v>2026</v>
      </c>
      <c r="M597">
        <f t="shared" si="54"/>
        <v>5</v>
      </c>
      <c r="N597" t="str">
        <f t="shared" si="55"/>
        <v>May</v>
      </c>
      <c r="O597" t="str">
        <f t="shared" si="56"/>
        <v>2026-05</v>
      </c>
      <c r="P597" t="str">
        <f t="shared" si="58"/>
        <v>2026-W22</v>
      </c>
      <c r="Q597" t="str">
        <f t="shared" si="59"/>
        <v>Wed</v>
      </c>
    </row>
    <row r="598" spans="1:17" x14ac:dyDescent="0.3">
      <c r="A598" s="2">
        <v>46170</v>
      </c>
      <c r="B598" s="3" t="s">
        <v>644</v>
      </c>
      <c r="C598" s="3" t="s">
        <v>12</v>
      </c>
      <c r="D598" s="3" t="s">
        <v>19</v>
      </c>
      <c r="E598" s="3" t="s">
        <v>33</v>
      </c>
      <c r="F598" s="3" t="s">
        <v>34</v>
      </c>
      <c r="G598" s="3">
        <v>67</v>
      </c>
      <c r="H598" s="4">
        <v>3884</v>
      </c>
      <c r="I598" s="4">
        <v>3500</v>
      </c>
      <c r="J598" s="3" t="s">
        <v>22</v>
      </c>
      <c r="K598" s="3" t="s">
        <v>36</v>
      </c>
      <c r="L598">
        <f t="shared" si="57"/>
        <v>2026</v>
      </c>
      <c r="M598">
        <f t="shared" si="54"/>
        <v>5</v>
      </c>
      <c r="N598" t="str">
        <f t="shared" si="55"/>
        <v>May</v>
      </c>
      <c r="O598" t="str">
        <f t="shared" si="56"/>
        <v>2026-05</v>
      </c>
      <c r="P598" t="str">
        <f t="shared" si="58"/>
        <v>2026-W22</v>
      </c>
      <c r="Q598" t="str">
        <f t="shared" si="59"/>
        <v>Thu</v>
      </c>
    </row>
    <row r="599" spans="1:17" x14ac:dyDescent="0.3">
      <c r="A599" s="2">
        <v>46171</v>
      </c>
      <c r="B599" s="3" t="s">
        <v>645</v>
      </c>
      <c r="C599" s="3" t="s">
        <v>50</v>
      </c>
      <c r="D599" s="3" t="s">
        <v>26</v>
      </c>
      <c r="E599" s="3" t="s">
        <v>14</v>
      </c>
      <c r="F599" s="3" t="s">
        <v>15</v>
      </c>
      <c r="G599" s="3">
        <v>98</v>
      </c>
      <c r="H599" s="4">
        <v>5725</v>
      </c>
      <c r="I599" s="4">
        <v>4900</v>
      </c>
      <c r="J599" s="3" t="s">
        <v>22</v>
      </c>
      <c r="K599" s="3" t="s">
        <v>36</v>
      </c>
      <c r="L599">
        <f t="shared" si="57"/>
        <v>2026</v>
      </c>
      <c r="M599">
        <f t="shared" si="54"/>
        <v>5</v>
      </c>
      <c r="N599" t="str">
        <f t="shared" si="55"/>
        <v>May</v>
      </c>
      <c r="O599" t="str">
        <f t="shared" si="56"/>
        <v>2026-05</v>
      </c>
      <c r="P599" t="str">
        <f t="shared" si="58"/>
        <v>2026-W22</v>
      </c>
      <c r="Q599" t="str">
        <f t="shared" si="59"/>
        <v>Fri</v>
      </c>
    </row>
    <row r="600" spans="1:17" x14ac:dyDescent="0.3">
      <c r="A600" s="2">
        <v>46171</v>
      </c>
      <c r="B600" s="3" t="s">
        <v>646</v>
      </c>
      <c r="C600" s="3" t="s">
        <v>50</v>
      </c>
      <c r="D600" s="3" t="s">
        <v>19</v>
      </c>
      <c r="E600" s="3" t="s">
        <v>33</v>
      </c>
      <c r="F600" s="3" t="s">
        <v>34</v>
      </c>
      <c r="G600" s="3">
        <v>81</v>
      </c>
      <c r="H600" s="4">
        <v>5988</v>
      </c>
      <c r="I600" s="4">
        <v>7100</v>
      </c>
      <c r="J600" s="3" t="s">
        <v>22</v>
      </c>
      <c r="K600" s="3" t="s">
        <v>36</v>
      </c>
      <c r="L600">
        <f t="shared" si="57"/>
        <v>2026</v>
      </c>
      <c r="M600">
        <f t="shared" si="54"/>
        <v>5</v>
      </c>
      <c r="N600" t="str">
        <f t="shared" si="55"/>
        <v>May</v>
      </c>
      <c r="O600" t="str">
        <f t="shared" si="56"/>
        <v>2026-05</v>
      </c>
      <c r="P600" t="str">
        <f t="shared" si="58"/>
        <v>2026-W22</v>
      </c>
      <c r="Q600" t="str">
        <f t="shared" si="59"/>
        <v>Fri</v>
      </c>
    </row>
    <row r="601" spans="1:17" x14ac:dyDescent="0.3">
      <c r="A601" s="2">
        <v>46171</v>
      </c>
      <c r="B601" s="3" t="s">
        <v>647</v>
      </c>
      <c r="C601" s="3" t="s">
        <v>50</v>
      </c>
      <c r="D601" s="3" t="s">
        <v>47</v>
      </c>
      <c r="E601" s="3" t="s">
        <v>29</v>
      </c>
      <c r="F601" s="3" t="s">
        <v>21</v>
      </c>
      <c r="G601" s="3">
        <v>101</v>
      </c>
      <c r="H601" s="4">
        <v>4853</v>
      </c>
      <c r="I601" s="4">
        <v>5400</v>
      </c>
      <c r="J601" s="3" t="s">
        <v>22</v>
      </c>
      <c r="K601" s="3" t="s">
        <v>30</v>
      </c>
      <c r="L601">
        <f t="shared" si="57"/>
        <v>2026</v>
      </c>
      <c r="M601">
        <f t="shared" si="54"/>
        <v>5</v>
      </c>
      <c r="N601" t="str">
        <f t="shared" si="55"/>
        <v>May</v>
      </c>
      <c r="O601" t="str">
        <f t="shared" si="56"/>
        <v>2026-05</v>
      </c>
      <c r="P601" t="str">
        <f t="shared" si="58"/>
        <v>2026-W22</v>
      </c>
      <c r="Q601" t="str">
        <f t="shared" si="59"/>
        <v>Fri</v>
      </c>
    </row>
    <row r="602" spans="1:17" x14ac:dyDescent="0.3">
      <c r="A602" s="2">
        <v>46171</v>
      </c>
      <c r="B602" s="3" t="s">
        <v>648</v>
      </c>
      <c r="C602" s="3" t="s">
        <v>50</v>
      </c>
      <c r="D602" s="3" t="s">
        <v>26</v>
      </c>
      <c r="E602" s="3" t="s">
        <v>41</v>
      </c>
      <c r="F602" s="3" t="s">
        <v>21</v>
      </c>
      <c r="G602" s="3">
        <v>67</v>
      </c>
      <c r="H602" s="4">
        <v>3321</v>
      </c>
      <c r="I602" s="4">
        <v>3500</v>
      </c>
      <c r="J602" s="3" t="s">
        <v>16</v>
      </c>
      <c r="K602" s="3" t="s">
        <v>17</v>
      </c>
      <c r="L602">
        <f t="shared" si="57"/>
        <v>2026</v>
      </c>
      <c r="M602">
        <f t="shared" si="54"/>
        <v>5</v>
      </c>
      <c r="N602" t="str">
        <f t="shared" si="55"/>
        <v>May</v>
      </c>
      <c r="O602" t="str">
        <f t="shared" si="56"/>
        <v>2026-05</v>
      </c>
      <c r="P602" t="str">
        <f t="shared" si="58"/>
        <v>2026-W22</v>
      </c>
      <c r="Q602" t="str">
        <f t="shared" si="59"/>
        <v>Fri</v>
      </c>
    </row>
    <row r="603" spans="1:17" x14ac:dyDescent="0.3">
      <c r="A603" s="2">
        <v>46171</v>
      </c>
      <c r="B603" s="3" t="s">
        <v>649</v>
      </c>
      <c r="C603" s="3" t="s">
        <v>50</v>
      </c>
      <c r="D603" s="3" t="s">
        <v>26</v>
      </c>
      <c r="E603" s="3" t="s">
        <v>48</v>
      </c>
      <c r="F603" s="3" t="s">
        <v>15</v>
      </c>
      <c r="G603" s="3">
        <v>92</v>
      </c>
      <c r="H603" s="4">
        <v>4857</v>
      </c>
      <c r="I603" s="4">
        <v>4900</v>
      </c>
      <c r="J603" s="3" t="s">
        <v>22</v>
      </c>
      <c r="K603" s="3" t="s">
        <v>36</v>
      </c>
      <c r="L603">
        <f t="shared" si="57"/>
        <v>2026</v>
      </c>
      <c r="M603">
        <f t="shared" si="54"/>
        <v>5</v>
      </c>
      <c r="N603" t="str">
        <f t="shared" si="55"/>
        <v>May</v>
      </c>
      <c r="O603" t="str">
        <f t="shared" si="56"/>
        <v>2026-05</v>
      </c>
      <c r="P603" t="str">
        <f t="shared" si="58"/>
        <v>2026-W22</v>
      </c>
      <c r="Q603" t="str">
        <f t="shared" si="59"/>
        <v>Fri</v>
      </c>
    </row>
    <row r="604" spans="1:17" x14ac:dyDescent="0.3">
      <c r="A604" s="2">
        <v>46172</v>
      </c>
      <c r="B604" s="3" t="s">
        <v>650</v>
      </c>
      <c r="C604" s="3" t="s">
        <v>25</v>
      </c>
      <c r="D604" s="3" t="s">
        <v>65</v>
      </c>
      <c r="E604" s="3" t="s">
        <v>123</v>
      </c>
      <c r="F604" s="3" t="s">
        <v>59</v>
      </c>
      <c r="G604" s="3">
        <v>63</v>
      </c>
      <c r="H604" s="4">
        <v>6885</v>
      </c>
      <c r="I604" s="4">
        <v>7000</v>
      </c>
      <c r="J604" s="3" t="s">
        <v>22</v>
      </c>
      <c r="K604" s="3" t="s">
        <v>36</v>
      </c>
      <c r="L604">
        <f t="shared" si="57"/>
        <v>2026</v>
      </c>
      <c r="M604">
        <f t="shared" si="54"/>
        <v>5</v>
      </c>
      <c r="N604" t="str">
        <f t="shared" si="55"/>
        <v>May</v>
      </c>
      <c r="O604" t="str">
        <f t="shared" si="56"/>
        <v>2026-05</v>
      </c>
      <c r="P604" t="str">
        <f t="shared" si="58"/>
        <v>2026-W22</v>
      </c>
      <c r="Q604" t="str">
        <f t="shared" si="59"/>
        <v>Sat</v>
      </c>
    </row>
    <row r="605" spans="1:17" x14ac:dyDescent="0.3">
      <c r="A605" s="2">
        <v>46172</v>
      </c>
      <c r="B605" s="3" t="s">
        <v>651</v>
      </c>
      <c r="C605" s="3" t="s">
        <v>32</v>
      </c>
      <c r="D605" s="3" t="s">
        <v>26</v>
      </c>
      <c r="E605" s="3" t="s">
        <v>48</v>
      </c>
      <c r="F605" s="3" t="s">
        <v>15</v>
      </c>
      <c r="G605" s="3">
        <v>83</v>
      </c>
      <c r="H605" s="4">
        <v>4374</v>
      </c>
      <c r="I605" s="4">
        <v>4800</v>
      </c>
      <c r="J605" s="3" t="s">
        <v>22</v>
      </c>
      <c r="K605" s="3" t="s">
        <v>36</v>
      </c>
      <c r="L605">
        <f t="shared" si="57"/>
        <v>2026</v>
      </c>
      <c r="M605">
        <f t="shared" si="54"/>
        <v>5</v>
      </c>
      <c r="N605" t="str">
        <f t="shared" si="55"/>
        <v>May</v>
      </c>
      <c r="O605" t="str">
        <f t="shared" si="56"/>
        <v>2026-05</v>
      </c>
      <c r="P605" t="str">
        <f t="shared" si="58"/>
        <v>2026-W22</v>
      </c>
      <c r="Q605" t="str">
        <f t="shared" si="59"/>
        <v>Sat</v>
      </c>
    </row>
    <row r="606" spans="1:17" x14ac:dyDescent="0.3">
      <c r="A606" s="2">
        <v>46172</v>
      </c>
      <c r="B606" s="3" t="s">
        <v>652</v>
      </c>
      <c r="C606" s="3" t="s">
        <v>43</v>
      </c>
      <c r="D606" s="3" t="s">
        <v>26</v>
      </c>
      <c r="E606" s="3" t="s">
        <v>48</v>
      </c>
      <c r="F606" s="3" t="s">
        <v>15</v>
      </c>
      <c r="G606" s="3">
        <v>98</v>
      </c>
      <c r="H606" s="4">
        <v>6020</v>
      </c>
      <c r="I606" s="4">
        <v>5700</v>
      </c>
      <c r="J606" s="3" t="s">
        <v>22</v>
      </c>
      <c r="K606" s="3" t="s">
        <v>36</v>
      </c>
      <c r="L606">
        <f t="shared" si="57"/>
        <v>2026</v>
      </c>
      <c r="M606">
        <f t="shared" si="54"/>
        <v>5</v>
      </c>
      <c r="N606" t="str">
        <f t="shared" si="55"/>
        <v>May</v>
      </c>
      <c r="O606" t="str">
        <f t="shared" si="56"/>
        <v>2026-05</v>
      </c>
      <c r="P606" t="str">
        <f t="shared" si="58"/>
        <v>2026-W22</v>
      </c>
      <c r="Q606" t="str">
        <f t="shared" si="59"/>
        <v>Sat</v>
      </c>
    </row>
    <row r="607" spans="1:17" x14ac:dyDescent="0.3">
      <c r="A607" s="2">
        <v>46172</v>
      </c>
      <c r="B607" s="3" t="s">
        <v>653</v>
      </c>
      <c r="C607" s="3" t="s">
        <v>12</v>
      </c>
      <c r="D607" s="3" t="s">
        <v>53</v>
      </c>
      <c r="E607" s="3" t="s">
        <v>68</v>
      </c>
      <c r="F607" s="3" t="s">
        <v>34</v>
      </c>
      <c r="G607" s="3">
        <v>47</v>
      </c>
      <c r="H607" s="4">
        <v>3142</v>
      </c>
      <c r="I607" s="4">
        <v>3100</v>
      </c>
      <c r="J607" s="3" t="s">
        <v>16</v>
      </c>
      <c r="K607" s="3" t="s">
        <v>36</v>
      </c>
      <c r="L607">
        <f t="shared" si="57"/>
        <v>2026</v>
      </c>
      <c r="M607">
        <f t="shared" si="54"/>
        <v>5</v>
      </c>
      <c r="N607" t="str">
        <f t="shared" si="55"/>
        <v>May</v>
      </c>
      <c r="O607" t="str">
        <f t="shared" si="56"/>
        <v>2026-05</v>
      </c>
      <c r="P607" t="str">
        <f t="shared" si="58"/>
        <v>2026-W22</v>
      </c>
      <c r="Q607" t="str">
        <f t="shared" si="59"/>
        <v>Sat</v>
      </c>
    </row>
    <row r="608" spans="1:17" x14ac:dyDescent="0.3">
      <c r="A608" s="2">
        <v>46173</v>
      </c>
      <c r="B608" s="3" t="s">
        <v>654</v>
      </c>
      <c r="C608" s="3" t="s">
        <v>25</v>
      </c>
      <c r="D608" s="3" t="s">
        <v>13</v>
      </c>
      <c r="E608" s="3" t="s">
        <v>41</v>
      </c>
      <c r="F608" s="3" t="s">
        <v>21</v>
      </c>
      <c r="G608" s="3">
        <v>45</v>
      </c>
      <c r="H608" s="4">
        <v>1939</v>
      </c>
      <c r="I608" s="4">
        <v>2300</v>
      </c>
      <c r="J608" s="3" t="s">
        <v>22</v>
      </c>
      <c r="K608" s="3" t="s">
        <v>17</v>
      </c>
      <c r="L608">
        <f t="shared" si="57"/>
        <v>2026</v>
      </c>
      <c r="M608">
        <f t="shared" si="54"/>
        <v>5</v>
      </c>
      <c r="N608" t="str">
        <f t="shared" si="55"/>
        <v>May</v>
      </c>
      <c r="O608" t="str">
        <f t="shared" si="56"/>
        <v>2026-05</v>
      </c>
      <c r="P608" t="str">
        <f t="shared" si="58"/>
        <v>2026-W22</v>
      </c>
      <c r="Q608" t="str">
        <f t="shared" si="59"/>
        <v>Sun</v>
      </c>
    </row>
    <row r="609" spans="1:17" x14ac:dyDescent="0.3">
      <c r="A609" s="2">
        <v>46173</v>
      </c>
      <c r="B609" s="3" t="s">
        <v>655</v>
      </c>
      <c r="C609" s="3" t="s">
        <v>32</v>
      </c>
      <c r="D609" s="3" t="s">
        <v>53</v>
      </c>
      <c r="E609" s="3" t="s">
        <v>48</v>
      </c>
      <c r="F609" s="3" t="s">
        <v>15</v>
      </c>
      <c r="G609" s="3">
        <v>40</v>
      </c>
      <c r="H609" s="4">
        <v>2537</v>
      </c>
      <c r="I609" s="4">
        <v>2900</v>
      </c>
      <c r="J609" s="3" t="s">
        <v>16</v>
      </c>
      <c r="K609" s="3" t="s">
        <v>30</v>
      </c>
      <c r="L609">
        <f t="shared" si="57"/>
        <v>2026</v>
      </c>
      <c r="M609">
        <f t="shared" si="54"/>
        <v>5</v>
      </c>
      <c r="N609" t="str">
        <f t="shared" si="55"/>
        <v>May</v>
      </c>
      <c r="O609" t="str">
        <f t="shared" si="56"/>
        <v>2026-05</v>
      </c>
      <c r="P609" t="str">
        <f t="shared" si="58"/>
        <v>2026-W22</v>
      </c>
      <c r="Q609" t="str">
        <f t="shared" si="59"/>
        <v>Sun</v>
      </c>
    </row>
    <row r="610" spans="1:17" x14ac:dyDescent="0.3">
      <c r="A610" s="2">
        <v>46173</v>
      </c>
      <c r="B610" s="3" t="s">
        <v>656</v>
      </c>
      <c r="C610" s="3" t="s">
        <v>50</v>
      </c>
      <c r="D610" s="3" t="s">
        <v>47</v>
      </c>
      <c r="E610" s="3" t="s">
        <v>48</v>
      </c>
      <c r="F610" s="3" t="s">
        <v>15</v>
      </c>
      <c r="G610" s="3">
        <v>28</v>
      </c>
      <c r="H610" s="4">
        <v>1412</v>
      </c>
      <c r="I610" s="4">
        <v>1400</v>
      </c>
      <c r="J610" s="3" t="s">
        <v>22</v>
      </c>
      <c r="K610" s="3" t="s">
        <v>30</v>
      </c>
      <c r="L610">
        <f t="shared" si="57"/>
        <v>2026</v>
      </c>
      <c r="M610">
        <f t="shared" si="54"/>
        <v>5</v>
      </c>
      <c r="N610" t="str">
        <f t="shared" si="55"/>
        <v>May</v>
      </c>
      <c r="O610" t="str">
        <f t="shared" si="56"/>
        <v>2026-05</v>
      </c>
      <c r="P610" t="str">
        <f t="shared" si="58"/>
        <v>2026-W22</v>
      </c>
      <c r="Q610" t="str">
        <f t="shared" si="59"/>
        <v>Sun</v>
      </c>
    </row>
    <row r="611" spans="1:17" x14ac:dyDescent="0.3">
      <c r="A611" s="2">
        <v>46173</v>
      </c>
      <c r="B611" s="3" t="s">
        <v>657</v>
      </c>
      <c r="C611" s="3" t="s">
        <v>25</v>
      </c>
      <c r="D611" s="3" t="s">
        <v>53</v>
      </c>
      <c r="E611" s="3" t="s">
        <v>27</v>
      </c>
      <c r="F611" s="3" t="s">
        <v>15</v>
      </c>
      <c r="G611" s="3">
        <v>20</v>
      </c>
      <c r="H611" s="4">
        <v>1153</v>
      </c>
      <c r="I611" s="4">
        <v>1100</v>
      </c>
      <c r="J611" s="3" t="s">
        <v>22</v>
      </c>
      <c r="K611" s="3" t="s">
        <v>30</v>
      </c>
      <c r="L611">
        <f t="shared" si="57"/>
        <v>2026</v>
      </c>
      <c r="M611">
        <f t="shared" si="54"/>
        <v>5</v>
      </c>
      <c r="N611" t="str">
        <f t="shared" si="55"/>
        <v>May</v>
      </c>
      <c r="O611" t="str">
        <f t="shared" si="56"/>
        <v>2026-05</v>
      </c>
      <c r="P611" t="str">
        <f t="shared" si="58"/>
        <v>2026-W22</v>
      </c>
      <c r="Q611" t="str">
        <f t="shared" si="59"/>
        <v>Sun</v>
      </c>
    </row>
    <row r="612" spans="1:17" x14ac:dyDescent="0.3">
      <c r="A612" s="2">
        <v>46173</v>
      </c>
      <c r="B612" s="3" t="s">
        <v>658</v>
      </c>
      <c r="C612" s="3" t="s">
        <v>43</v>
      </c>
      <c r="D612" s="3" t="s">
        <v>65</v>
      </c>
      <c r="E612" s="3" t="s">
        <v>61</v>
      </c>
      <c r="F612" s="3" t="s">
        <v>59</v>
      </c>
      <c r="G612" s="3">
        <v>25</v>
      </c>
      <c r="H612" s="4">
        <v>2803</v>
      </c>
      <c r="I612" s="4">
        <v>3400</v>
      </c>
      <c r="J612" s="3" t="s">
        <v>39</v>
      </c>
      <c r="K612" s="3" t="s">
        <v>23</v>
      </c>
      <c r="L612">
        <f t="shared" si="57"/>
        <v>2026</v>
      </c>
      <c r="M612">
        <f t="shared" si="54"/>
        <v>5</v>
      </c>
      <c r="N612" t="str">
        <f t="shared" si="55"/>
        <v>May</v>
      </c>
      <c r="O612" t="str">
        <f t="shared" si="56"/>
        <v>2026-05</v>
      </c>
      <c r="P612" t="str">
        <f t="shared" si="58"/>
        <v>2026-W22</v>
      </c>
      <c r="Q612" t="str">
        <f t="shared" si="59"/>
        <v>Sun</v>
      </c>
    </row>
    <row r="613" spans="1:17" x14ac:dyDescent="0.3">
      <c r="A613" s="2">
        <v>46174</v>
      </c>
      <c r="B613" s="3" t="s">
        <v>659</v>
      </c>
      <c r="C613" s="3" t="s">
        <v>38</v>
      </c>
      <c r="D613" s="3" t="s">
        <v>26</v>
      </c>
      <c r="E613" s="3" t="s">
        <v>29</v>
      </c>
      <c r="F613" s="3" t="s">
        <v>21</v>
      </c>
      <c r="G613" s="3">
        <v>90</v>
      </c>
      <c r="H613" s="4">
        <v>3397</v>
      </c>
      <c r="I613" s="4">
        <v>3600</v>
      </c>
      <c r="J613" s="3" t="s">
        <v>22</v>
      </c>
      <c r="K613" s="3" t="s">
        <v>30</v>
      </c>
      <c r="L613">
        <f t="shared" si="57"/>
        <v>2026</v>
      </c>
      <c r="M613">
        <f t="shared" si="54"/>
        <v>6</v>
      </c>
      <c r="N613" t="str">
        <f t="shared" si="55"/>
        <v>Jun</v>
      </c>
      <c r="O613" t="str">
        <f t="shared" si="56"/>
        <v>2026-06</v>
      </c>
      <c r="P613" t="str">
        <f t="shared" si="58"/>
        <v>2026-W23</v>
      </c>
      <c r="Q613" t="str">
        <f t="shared" si="59"/>
        <v>Mon</v>
      </c>
    </row>
    <row r="614" spans="1:17" x14ac:dyDescent="0.3">
      <c r="A614" s="2">
        <v>46175</v>
      </c>
      <c r="B614" s="3" t="s">
        <v>660</v>
      </c>
      <c r="C614" s="3" t="s">
        <v>43</v>
      </c>
      <c r="D614" s="3" t="s">
        <v>26</v>
      </c>
      <c r="E614" s="3" t="s">
        <v>33</v>
      </c>
      <c r="F614" s="3" t="s">
        <v>34</v>
      </c>
      <c r="G614" s="3">
        <v>78</v>
      </c>
      <c r="H614" s="4">
        <v>5225</v>
      </c>
      <c r="I614" s="4">
        <v>5900</v>
      </c>
      <c r="J614" s="3" t="s">
        <v>22</v>
      </c>
      <c r="K614" s="3" t="s">
        <v>36</v>
      </c>
      <c r="L614">
        <f t="shared" si="57"/>
        <v>2026</v>
      </c>
      <c r="M614">
        <f t="shared" si="54"/>
        <v>6</v>
      </c>
      <c r="N614" t="str">
        <f t="shared" si="55"/>
        <v>Jun</v>
      </c>
      <c r="O614" t="str">
        <f t="shared" si="56"/>
        <v>2026-06</v>
      </c>
      <c r="P614" t="str">
        <f t="shared" si="58"/>
        <v>2026-W23</v>
      </c>
      <c r="Q614" t="str">
        <f t="shared" si="59"/>
        <v>Tue</v>
      </c>
    </row>
    <row r="615" spans="1:17" x14ac:dyDescent="0.3">
      <c r="A615" s="2">
        <v>46175</v>
      </c>
      <c r="B615" s="3" t="s">
        <v>661</v>
      </c>
      <c r="C615" s="3" t="s">
        <v>57</v>
      </c>
      <c r="D615" s="3" t="s">
        <v>53</v>
      </c>
      <c r="E615" s="3" t="s">
        <v>27</v>
      </c>
      <c r="F615" s="3" t="s">
        <v>15</v>
      </c>
      <c r="G615" s="3">
        <v>56</v>
      </c>
      <c r="H615" s="4">
        <v>3732</v>
      </c>
      <c r="I615" s="4">
        <v>3300</v>
      </c>
      <c r="J615" s="3" t="s">
        <v>22</v>
      </c>
      <c r="K615" s="3" t="s">
        <v>36</v>
      </c>
      <c r="L615">
        <f t="shared" si="57"/>
        <v>2026</v>
      </c>
      <c r="M615">
        <f t="shared" si="54"/>
        <v>6</v>
      </c>
      <c r="N615" t="str">
        <f t="shared" si="55"/>
        <v>Jun</v>
      </c>
      <c r="O615" t="str">
        <f t="shared" si="56"/>
        <v>2026-06</v>
      </c>
      <c r="P615" t="str">
        <f t="shared" si="58"/>
        <v>2026-W23</v>
      </c>
      <c r="Q615" t="str">
        <f t="shared" si="59"/>
        <v>Tue</v>
      </c>
    </row>
    <row r="616" spans="1:17" x14ac:dyDescent="0.3">
      <c r="A616" s="2">
        <v>46175</v>
      </c>
      <c r="B616" s="3" t="s">
        <v>662</v>
      </c>
      <c r="C616" s="3" t="s">
        <v>50</v>
      </c>
      <c r="D616" s="3" t="s">
        <v>53</v>
      </c>
      <c r="E616" s="3" t="s">
        <v>61</v>
      </c>
      <c r="F616" s="3" t="s">
        <v>59</v>
      </c>
      <c r="G616" s="3">
        <v>13</v>
      </c>
      <c r="H616" s="4">
        <v>1552</v>
      </c>
      <c r="I616" s="4">
        <v>1300</v>
      </c>
      <c r="J616" s="3" t="s">
        <v>22</v>
      </c>
      <c r="K616" s="3" t="s">
        <v>17</v>
      </c>
      <c r="L616">
        <f t="shared" si="57"/>
        <v>2026</v>
      </c>
      <c r="M616">
        <f t="shared" si="54"/>
        <v>6</v>
      </c>
      <c r="N616" t="str">
        <f t="shared" si="55"/>
        <v>Jun</v>
      </c>
      <c r="O616" t="str">
        <f t="shared" si="56"/>
        <v>2026-06</v>
      </c>
      <c r="P616" t="str">
        <f t="shared" si="58"/>
        <v>2026-W23</v>
      </c>
      <c r="Q616" t="str">
        <f t="shared" si="59"/>
        <v>Tue</v>
      </c>
    </row>
    <row r="617" spans="1:17" x14ac:dyDescent="0.3">
      <c r="A617" s="2">
        <v>46176</v>
      </c>
      <c r="B617" s="3" t="s">
        <v>663</v>
      </c>
      <c r="C617" s="3" t="s">
        <v>38</v>
      </c>
      <c r="D617" s="3" t="s">
        <v>53</v>
      </c>
      <c r="E617" s="3" t="s">
        <v>27</v>
      </c>
      <c r="F617" s="3" t="s">
        <v>15</v>
      </c>
      <c r="G617" s="3">
        <v>17</v>
      </c>
      <c r="H617" s="4">
        <v>1121</v>
      </c>
      <c r="I617" s="4">
        <v>1000</v>
      </c>
      <c r="J617" s="3" t="s">
        <v>22</v>
      </c>
      <c r="K617" s="3" t="s">
        <v>36</v>
      </c>
      <c r="L617">
        <f t="shared" si="57"/>
        <v>2026</v>
      </c>
      <c r="M617">
        <f t="shared" si="54"/>
        <v>6</v>
      </c>
      <c r="N617" t="str">
        <f t="shared" si="55"/>
        <v>Jun</v>
      </c>
      <c r="O617" t="str">
        <f t="shared" si="56"/>
        <v>2026-06</v>
      </c>
      <c r="P617" t="str">
        <f t="shared" si="58"/>
        <v>2026-W23</v>
      </c>
      <c r="Q617" t="str">
        <f t="shared" si="59"/>
        <v>Wed</v>
      </c>
    </row>
    <row r="618" spans="1:17" x14ac:dyDescent="0.3">
      <c r="A618" s="2">
        <v>46176</v>
      </c>
      <c r="B618" s="3" t="s">
        <v>664</v>
      </c>
      <c r="C618" s="3" t="s">
        <v>32</v>
      </c>
      <c r="D618" s="3" t="s">
        <v>53</v>
      </c>
      <c r="E618" s="3" t="s">
        <v>68</v>
      </c>
      <c r="F618" s="3" t="s">
        <v>34</v>
      </c>
      <c r="G618" s="3">
        <v>14</v>
      </c>
      <c r="H618" s="4">
        <v>823</v>
      </c>
      <c r="I618" s="4">
        <v>1000</v>
      </c>
      <c r="J618" s="3" t="s">
        <v>16</v>
      </c>
      <c r="K618" s="3" t="s">
        <v>17</v>
      </c>
      <c r="L618">
        <f t="shared" si="57"/>
        <v>2026</v>
      </c>
      <c r="M618">
        <f t="shared" si="54"/>
        <v>6</v>
      </c>
      <c r="N618" t="str">
        <f t="shared" si="55"/>
        <v>Jun</v>
      </c>
      <c r="O618" t="str">
        <f t="shared" si="56"/>
        <v>2026-06</v>
      </c>
      <c r="P618" t="str">
        <f t="shared" si="58"/>
        <v>2026-W23</v>
      </c>
      <c r="Q618" t="str">
        <f t="shared" si="59"/>
        <v>Wed</v>
      </c>
    </row>
    <row r="619" spans="1:17" x14ac:dyDescent="0.3">
      <c r="A619" s="2">
        <v>46176</v>
      </c>
      <c r="B619" s="3" t="s">
        <v>665</v>
      </c>
      <c r="C619" s="3" t="s">
        <v>25</v>
      </c>
      <c r="D619" s="3" t="s">
        <v>26</v>
      </c>
      <c r="E619" s="3" t="s">
        <v>68</v>
      </c>
      <c r="F619" s="3" t="s">
        <v>34</v>
      </c>
      <c r="G619" s="3">
        <v>95</v>
      </c>
      <c r="H619" s="4">
        <v>7093</v>
      </c>
      <c r="I619" s="4">
        <v>7600</v>
      </c>
      <c r="J619" s="3" t="s">
        <v>16</v>
      </c>
      <c r="K619" s="3" t="s">
        <v>30</v>
      </c>
      <c r="L619">
        <f t="shared" si="57"/>
        <v>2026</v>
      </c>
      <c r="M619">
        <f t="shared" si="54"/>
        <v>6</v>
      </c>
      <c r="N619" t="str">
        <f t="shared" si="55"/>
        <v>Jun</v>
      </c>
      <c r="O619" t="str">
        <f t="shared" si="56"/>
        <v>2026-06</v>
      </c>
      <c r="P619" t="str">
        <f t="shared" si="58"/>
        <v>2026-W23</v>
      </c>
      <c r="Q619" t="str">
        <f t="shared" si="59"/>
        <v>Wed</v>
      </c>
    </row>
    <row r="620" spans="1:17" x14ac:dyDescent="0.3">
      <c r="A620" s="2">
        <v>46176</v>
      </c>
      <c r="B620" s="3" t="s">
        <v>666</v>
      </c>
      <c r="C620" s="3" t="s">
        <v>57</v>
      </c>
      <c r="D620" s="3" t="s">
        <v>26</v>
      </c>
      <c r="E620" s="3" t="s">
        <v>29</v>
      </c>
      <c r="F620" s="3" t="s">
        <v>21</v>
      </c>
      <c r="G620" s="3">
        <v>102</v>
      </c>
      <c r="H620" s="4">
        <v>4442</v>
      </c>
      <c r="I620" s="4">
        <v>4600</v>
      </c>
      <c r="J620" s="3" t="s">
        <v>22</v>
      </c>
      <c r="K620" s="3" t="s">
        <v>30</v>
      </c>
      <c r="L620">
        <f t="shared" si="57"/>
        <v>2026</v>
      </c>
      <c r="M620">
        <f t="shared" si="54"/>
        <v>6</v>
      </c>
      <c r="N620" t="str">
        <f t="shared" si="55"/>
        <v>Jun</v>
      </c>
      <c r="O620" t="str">
        <f t="shared" si="56"/>
        <v>2026-06</v>
      </c>
      <c r="P620" t="str">
        <f t="shared" si="58"/>
        <v>2026-W23</v>
      </c>
      <c r="Q620" t="str">
        <f t="shared" si="59"/>
        <v>Wed</v>
      </c>
    </row>
    <row r="621" spans="1:17" x14ac:dyDescent="0.3">
      <c r="A621" s="2">
        <v>46177</v>
      </c>
      <c r="B621" s="3" t="s">
        <v>667</v>
      </c>
      <c r="C621" s="3" t="s">
        <v>57</v>
      </c>
      <c r="D621" s="3" t="s">
        <v>19</v>
      </c>
      <c r="E621" s="3" t="s">
        <v>14</v>
      </c>
      <c r="F621" s="3" t="s">
        <v>15</v>
      </c>
      <c r="G621" s="3">
        <v>19</v>
      </c>
      <c r="H621" s="4">
        <v>1319</v>
      </c>
      <c r="I621" s="4">
        <v>1600</v>
      </c>
      <c r="J621" s="3" t="s">
        <v>22</v>
      </c>
      <c r="K621" s="3" t="s">
        <v>30</v>
      </c>
      <c r="L621">
        <f t="shared" si="57"/>
        <v>2026</v>
      </c>
      <c r="M621">
        <f t="shared" si="54"/>
        <v>6</v>
      </c>
      <c r="N621" t="str">
        <f t="shared" si="55"/>
        <v>Jun</v>
      </c>
      <c r="O621" t="str">
        <f t="shared" si="56"/>
        <v>2026-06</v>
      </c>
      <c r="P621" t="str">
        <f t="shared" si="58"/>
        <v>2026-W23</v>
      </c>
      <c r="Q621" t="str">
        <f t="shared" si="59"/>
        <v>Thu</v>
      </c>
    </row>
    <row r="622" spans="1:17" x14ac:dyDescent="0.3">
      <c r="A622" s="2">
        <v>46177</v>
      </c>
      <c r="B622" s="3" t="s">
        <v>668</v>
      </c>
      <c r="C622" s="3" t="s">
        <v>43</v>
      </c>
      <c r="D622" s="3" t="s">
        <v>19</v>
      </c>
      <c r="E622" s="3" t="s">
        <v>123</v>
      </c>
      <c r="F622" s="3" t="s">
        <v>59</v>
      </c>
      <c r="G622" s="3">
        <v>13</v>
      </c>
      <c r="H622" s="4">
        <v>1598</v>
      </c>
      <c r="I622" s="4">
        <v>1900</v>
      </c>
      <c r="J622" s="3" t="s">
        <v>22</v>
      </c>
      <c r="K622" s="3" t="s">
        <v>23</v>
      </c>
      <c r="L622">
        <f t="shared" si="57"/>
        <v>2026</v>
      </c>
      <c r="M622">
        <f t="shared" si="54"/>
        <v>6</v>
      </c>
      <c r="N622" t="str">
        <f t="shared" si="55"/>
        <v>Jun</v>
      </c>
      <c r="O622" t="str">
        <f t="shared" si="56"/>
        <v>2026-06</v>
      </c>
      <c r="P622" t="str">
        <f t="shared" si="58"/>
        <v>2026-W23</v>
      </c>
      <c r="Q622" t="str">
        <f t="shared" si="59"/>
        <v>Thu</v>
      </c>
    </row>
    <row r="623" spans="1:17" x14ac:dyDescent="0.3">
      <c r="A623" s="2">
        <v>46177</v>
      </c>
      <c r="B623" s="3" t="s">
        <v>669</v>
      </c>
      <c r="C623" s="3" t="s">
        <v>57</v>
      </c>
      <c r="D623" s="3" t="s">
        <v>26</v>
      </c>
      <c r="E623" s="3" t="s">
        <v>20</v>
      </c>
      <c r="F623" s="3" t="s">
        <v>21</v>
      </c>
      <c r="G623" s="3">
        <v>87</v>
      </c>
      <c r="H623" s="4">
        <v>4021</v>
      </c>
      <c r="I623" s="4">
        <v>4400</v>
      </c>
      <c r="J623" s="3" t="s">
        <v>16</v>
      </c>
      <c r="K623" s="3" t="s">
        <v>30</v>
      </c>
      <c r="L623">
        <f t="shared" si="57"/>
        <v>2026</v>
      </c>
      <c r="M623">
        <f t="shared" si="54"/>
        <v>6</v>
      </c>
      <c r="N623" t="str">
        <f t="shared" si="55"/>
        <v>Jun</v>
      </c>
      <c r="O623" t="str">
        <f t="shared" si="56"/>
        <v>2026-06</v>
      </c>
      <c r="P623" t="str">
        <f t="shared" si="58"/>
        <v>2026-W23</v>
      </c>
      <c r="Q623" t="str">
        <f t="shared" si="59"/>
        <v>Thu</v>
      </c>
    </row>
    <row r="624" spans="1:17" x14ac:dyDescent="0.3">
      <c r="A624" s="2">
        <v>46177</v>
      </c>
      <c r="B624" s="3" t="s">
        <v>670</v>
      </c>
      <c r="C624" s="3" t="s">
        <v>32</v>
      </c>
      <c r="D624" s="3" t="s">
        <v>19</v>
      </c>
      <c r="E624" s="3" t="s">
        <v>58</v>
      </c>
      <c r="F624" s="3" t="s">
        <v>59</v>
      </c>
      <c r="G624" s="3">
        <v>20</v>
      </c>
      <c r="H624" s="4">
        <v>2142</v>
      </c>
      <c r="I624" s="4">
        <v>1900</v>
      </c>
      <c r="J624" s="3" t="s">
        <v>39</v>
      </c>
      <c r="K624" s="3" t="s">
        <v>30</v>
      </c>
      <c r="L624">
        <f t="shared" si="57"/>
        <v>2026</v>
      </c>
      <c r="M624">
        <f t="shared" si="54"/>
        <v>6</v>
      </c>
      <c r="N624" t="str">
        <f t="shared" si="55"/>
        <v>Jun</v>
      </c>
      <c r="O624" t="str">
        <f t="shared" si="56"/>
        <v>2026-06</v>
      </c>
      <c r="P624" t="str">
        <f t="shared" si="58"/>
        <v>2026-W23</v>
      </c>
      <c r="Q624" t="str">
        <f t="shared" si="59"/>
        <v>Thu</v>
      </c>
    </row>
    <row r="625" spans="1:17" x14ac:dyDescent="0.3">
      <c r="A625" s="2">
        <v>46177</v>
      </c>
      <c r="B625" s="3" t="s">
        <v>671</v>
      </c>
      <c r="C625" s="3" t="s">
        <v>38</v>
      </c>
      <c r="D625" s="3" t="s">
        <v>26</v>
      </c>
      <c r="E625" s="3" t="s">
        <v>20</v>
      </c>
      <c r="F625" s="3" t="s">
        <v>21</v>
      </c>
      <c r="G625" s="3">
        <v>112</v>
      </c>
      <c r="H625" s="4">
        <v>4861</v>
      </c>
      <c r="I625" s="4">
        <v>4500</v>
      </c>
      <c r="J625" s="3" t="s">
        <v>22</v>
      </c>
      <c r="K625" s="3" t="s">
        <v>36</v>
      </c>
      <c r="L625">
        <f t="shared" si="57"/>
        <v>2026</v>
      </c>
      <c r="M625">
        <f t="shared" si="54"/>
        <v>6</v>
      </c>
      <c r="N625" t="str">
        <f t="shared" si="55"/>
        <v>Jun</v>
      </c>
      <c r="O625" t="str">
        <f t="shared" si="56"/>
        <v>2026-06</v>
      </c>
      <c r="P625" t="str">
        <f t="shared" si="58"/>
        <v>2026-W23</v>
      </c>
      <c r="Q625" t="str">
        <f t="shared" si="59"/>
        <v>Thu</v>
      </c>
    </row>
    <row r="626" spans="1:17" x14ac:dyDescent="0.3">
      <c r="A626" s="2">
        <v>46178</v>
      </c>
      <c r="B626" s="3" t="s">
        <v>672</v>
      </c>
      <c r="C626" s="3" t="s">
        <v>32</v>
      </c>
      <c r="D626" s="3" t="s">
        <v>19</v>
      </c>
      <c r="E626" s="3" t="s">
        <v>20</v>
      </c>
      <c r="F626" s="3" t="s">
        <v>21</v>
      </c>
      <c r="G626" s="3">
        <v>117</v>
      </c>
      <c r="H626" s="4">
        <v>4765</v>
      </c>
      <c r="I626" s="4">
        <v>4300</v>
      </c>
      <c r="J626" s="3" t="s">
        <v>22</v>
      </c>
      <c r="K626" s="3" t="s">
        <v>36</v>
      </c>
      <c r="L626">
        <f t="shared" si="57"/>
        <v>2026</v>
      </c>
      <c r="M626">
        <f t="shared" si="54"/>
        <v>6</v>
      </c>
      <c r="N626" t="str">
        <f t="shared" si="55"/>
        <v>Jun</v>
      </c>
      <c r="O626" t="str">
        <f t="shared" si="56"/>
        <v>2026-06</v>
      </c>
      <c r="P626" t="str">
        <f t="shared" si="58"/>
        <v>2026-W23</v>
      </c>
      <c r="Q626" t="str">
        <f t="shared" si="59"/>
        <v>Fri</v>
      </c>
    </row>
    <row r="627" spans="1:17" x14ac:dyDescent="0.3">
      <c r="A627" s="2">
        <v>46178</v>
      </c>
      <c r="B627" s="3" t="s">
        <v>673</v>
      </c>
      <c r="C627" s="3" t="s">
        <v>25</v>
      </c>
      <c r="D627" s="3" t="s">
        <v>19</v>
      </c>
      <c r="E627" s="3" t="s">
        <v>14</v>
      </c>
      <c r="F627" s="3" t="s">
        <v>15</v>
      </c>
      <c r="G627" s="3">
        <v>47</v>
      </c>
      <c r="H627" s="4">
        <v>2954</v>
      </c>
      <c r="I627" s="4">
        <v>2500</v>
      </c>
      <c r="J627" s="3" t="s">
        <v>22</v>
      </c>
      <c r="K627" s="3" t="s">
        <v>36</v>
      </c>
      <c r="L627">
        <f t="shared" si="57"/>
        <v>2026</v>
      </c>
      <c r="M627">
        <f t="shared" si="54"/>
        <v>6</v>
      </c>
      <c r="N627" t="str">
        <f t="shared" si="55"/>
        <v>Jun</v>
      </c>
      <c r="O627" t="str">
        <f t="shared" si="56"/>
        <v>2026-06</v>
      </c>
      <c r="P627" t="str">
        <f t="shared" si="58"/>
        <v>2026-W23</v>
      </c>
      <c r="Q627" t="str">
        <f t="shared" si="59"/>
        <v>Fri</v>
      </c>
    </row>
    <row r="628" spans="1:17" x14ac:dyDescent="0.3">
      <c r="A628" s="2">
        <v>46178</v>
      </c>
      <c r="B628" s="3" t="s">
        <v>674</v>
      </c>
      <c r="C628" s="3" t="s">
        <v>32</v>
      </c>
      <c r="D628" s="3" t="s">
        <v>53</v>
      </c>
      <c r="E628" s="3" t="s">
        <v>41</v>
      </c>
      <c r="F628" s="3" t="s">
        <v>21</v>
      </c>
      <c r="G628" s="3">
        <v>43</v>
      </c>
      <c r="H628" s="4">
        <v>1728</v>
      </c>
      <c r="I628" s="4">
        <v>1800</v>
      </c>
      <c r="J628" s="3" t="s">
        <v>22</v>
      </c>
      <c r="K628" s="3" t="s">
        <v>36</v>
      </c>
      <c r="L628">
        <f t="shared" si="57"/>
        <v>2026</v>
      </c>
      <c r="M628">
        <f t="shared" si="54"/>
        <v>6</v>
      </c>
      <c r="N628" t="str">
        <f t="shared" si="55"/>
        <v>Jun</v>
      </c>
      <c r="O628" t="str">
        <f t="shared" si="56"/>
        <v>2026-06</v>
      </c>
      <c r="P628" t="str">
        <f t="shared" si="58"/>
        <v>2026-W23</v>
      </c>
      <c r="Q628" t="str">
        <f t="shared" si="59"/>
        <v>Fri</v>
      </c>
    </row>
    <row r="629" spans="1:17" x14ac:dyDescent="0.3">
      <c r="A629" s="2">
        <v>46178</v>
      </c>
      <c r="B629" s="3" t="s">
        <v>675</v>
      </c>
      <c r="C629" s="3" t="s">
        <v>25</v>
      </c>
      <c r="D629" s="3" t="s">
        <v>26</v>
      </c>
      <c r="E629" s="3" t="s">
        <v>29</v>
      </c>
      <c r="F629" s="3" t="s">
        <v>21</v>
      </c>
      <c r="G629" s="3">
        <v>45</v>
      </c>
      <c r="H629" s="4">
        <v>1957</v>
      </c>
      <c r="I629" s="4">
        <v>1800</v>
      </c>
      <c r="J629" s="3" t="s">
        <v>22</v>
      </c>
      <c r="K629" s="3" t="s">
        <v>23</v>
      </c>
      <c r="L629">
        <f t="shared" si="57"/>
        <v>2026</v>
      </c>
      <c r="M629">
        <f t="shared" si="54"/>
        <v>6</v>
      </c>
      <c r="N629" t="str">
        <f t="shared" si="55"/>
        <v>Jun</v>
      </c>
      <c r="O629" t="str">
        <f t="shared" si="56"/>
        <v>2026-06</v>
      </c>
      <c r="P629" t="str">
        <f t="shared" si="58"/>
        <v>2026-W23</v>
      </c>
      <c r="Q629" t="str">
        <f t="shared" si="59"/>
        <v>Fri</v>
      </c>
    </row>
    <row r="630" spans="1:17" x14ac:dyDescent="0.3">
      <c r="A630" s="2">
        <v>46178</v>
      </c>
      <c r="B630" s="3" t="s">
        <v>676</v>
      </c>
      <c r="C630" s="3" t="s">
        <v>50</v>
      </c>
      <c r="D630" s="3" t="s">
        <v>65</v>
      </c>
      <c r="E630" s="3" t="s">
        <v>68</v>
      </c>
      <c r="F630" s="3" t="s">
        <v>34</v>
      </c>
      <c r="G630" s="3">
        <v>30</v>
      </c>
      <c r="H630" s="4">
        <v>1857</v>
      </c>
      <c r="I630" s="4">
        <v>1800</v>
      </c>
      <c r="J630" s="3" t="s">
        <v>22</v>
      </c>
      <c r="K630" s="3" t="s">
        <v>17</v>
      </c>
      <c r="L630">
        <f t="shared" si="57"/>
        <v>2026</v>
      </c>
      <c r="M630">
        <f t="shared" si="54"/>
        <v>6</v>
      </c>
      <c r="N630" t="str">
        <f t="shared" si="55"/>
        <v>Jun</v>
      </c>
      <c r="O630" t="str">
        <f t="shared" si="56"/>
        <v>2026-06</v>
      </c>
      <c r="P630" t="str">
        <f t="shared" si="58"/>
        <v>2026-W23</v>
      </c>
      <c r="Q630" t="str">
        <f t="shared" si="59"/>
        <v>Fri</v>
      </c>
    </row>
    <row r="631" spans="1:17" x14ac:dyDescent="0.3">
      <c r="A631" s="2">
        <v>46178</v>
      </c>
      <c r="B631" s="3" t="s">
        <v>677</v>
      </c>
      <c r="C631" s="3" t="s">
        <v>38</v>
      </c>
      <c r="D631" s="3" t="s">
        <v>53</v>
      </c>
      <c r="E631" s="3" t="s">
        <v>48</v>
      </c>
      <c r="F631" s="3" t="s">
        <v>15</v>
      </c>
      <c r="G631" s="3">
        <v>54</v>
      </c>
      <c r="H631" s="4">
        <v>2870</v>
      </c>
      <c r="I631" s="4">
        <v>3000</v>
      </c>
      <c r="J631" s="3" t="s">
        <v>22</v>
      </c>
      <c r="K631" s="3" t="s">
        <v>30</v>
      </c>
      <c r="L631">
        <f t="shared" si="57"/>
        <v>2026</v>
      </c>
      <c r="M631">
        <f t="shared" si="54"/>
        <v>6</v>
      </c>
      <c r="N631" t="str">
        <f t="shared" si="55"/>
        <v>Jun</v>
      </c>
      <c r="O631" t="str">
        <f t="shared" si="56"/>
        <v>2026-06</v>
      </c>
      <c r="P631" t="str">
        <f t="shared" si="58"/>
        <v>2026-W23</v>
      </c>
      <c r="Q631" t="str">
        <f t="shared" si="59"/>
        <v>Fri</v>
      </c>
    </row>
    <row r="632" spans="1:17" x14ac:dyDescent="0.3">
      <c r="A632" s="2">
        <v>46179</v>
      </c>
      <c r="B632" s="3" t="s">
        <v>678</v>
      </c>
      <c r="C632" s="3" t="s">
        <v>43</v>
      </c>
      <c r="D632" s="3" t="s">
        <v>26</v>
      </c>
      <c r="E632" s="3" t="s">
        <v>44</v>
      </c>
      <c r="F632" s="3" t="s">
        <v>34</v>
      </c>
      <c r="G632" s="3">
        <v>59</v>
      </c>
      <c r="H632" s="4">
        <v>4417</v>
      </c>
      <c r="I632" s="4">
        <v>4800</v>
      </c>
      <c r="J632" s="3" t="s">
        <v>22</v>
      </c>
      <c r="K632" s="3" t="s">
        <v>17</v>
      </c>
      <c r="L632">
        <f t="shared" si="57"/>
        <v>2026</v>
      </c>
      <c r="M632">
        <f t="shared" si="54"/>
        <v>6</v>
      </c>
      <c r="N632" t="str">
        <f t="shared" si="55"/>
        <v>Jun</v>
      </c>
      <c r="O632" t="str">
        <f t="shared" si="56"/>
        <v>2026-06</v>
      </c>
      <c r="P632" t="str">
        <f t="shared" si="58"/>
        <v>2026-W23</v>
      </c>
      <c r="Q632" t="str">
        <f t="shared" si="59"/>
        <v>Sat</v>
      </c>
    </row>
    <row r="633" spans="1:17" x14ac:dyDescent="0.3">
      <c r="A633" s="2">
        <v>46180</v>
      </c>
      <c r="B633" s="3" t="s">
        <v>679</v>
      </c>
      <c r="C633" s="3" t="s">
        <v>12</v>
      </c>
      <c r="D633" s="3" t="s">
        <v>53</v>
      </c>
      <c r="E633" s="3" t="s">
        <v>33</v>
      </c>
      <c r="F633" s="3" t="s">
        <v>34</v>
      </c>
      <c r="G633" s="3">
        <v>71</v>
      </c>
      <c r="H633" s="4">
        <v>4216</v>
      </c>
      <c r="I633" s="4">
        <v>5300</v>
      </c>
      <c r="J633" s="3" t="s">
        <v>22</v>
      </c>
      <c r="K633" s="3" t="s">
        <v>30</v>
      </c>
      <c r="L633">
        <f t="shared" si="57"/>
        <v>2026</v>
      </c>
      <c r="M633">
        <f t="shared" si="54"/>
        <v>6</v>
      </c>
      <c r="N633" t="str">
        <f t="shared" si="55"/>
        <v>Jun</v>
      </c>
      <c r="O633" t="str">
        <f t="shared" si="56"/>
        <v>2026-06</v>
      </c>
      <c r="P633" t="str">
        <f t="shared" si="58"/>
        <v>2026-W23</v>
      </c>
      <c r="Q633" t="str">
        <f t="shared" si="59"/>
        <v>Sun</v>
      </c>
    </row>
    <row r="634" spans="1:17" x14ac:dyDescent="0.3">
      <c r="A634" s="2">
        <v>46180</v>
      </c>
      <c r="B634" s="3" t="s">
        <v>680</v>
      </c>
      <c r="C634" s="3" t="s">
        <v>50</v>
      </c>
      <c r="D634" s="3" t="s">
        <v>26</v>
      </c>
      <c r="E634" s="3" t="s">
        <v>41</v>
      </c>
      <c r="F634" s="3" t="s">
        <v>21</v>
      </c>
      <c r="G634" s="3">
        <v>53</v>
      </c>
      <c r="H634" s="4">
        <v>2401</v>
      </c>
      <c r="I634" s="4">
        <v>2900</v>
      </c>
      <c r="J634" s="3" t="s">
        <v>22</v>
      </c>
      <c r="K634" s="3" t="s">
        <v>30</v>
      </c>
      <c r="L634">
        <f t="shared" si="57"/>
        <v>2026</v>
      </c>
      <c r="M634">
        <f t="shared" si="54"/>
        <v>6</v>
      </c>
      <c r="N634" t="str">
        <f t="shared" si="55"/>
        <v>Jun</v>
      </c>
      <c r="O634" t="str">
        <f t="shared" si="56"/>
        <v>2026-06</v>
      </c>
      <c r="P634" t="str">
        <f t="shared" si="58"/>
        <v>2026-W23</v>
      </c>
      <c r="Q634" t="str">
        <f t="shared" si="59"/>
        <v>Sun</v>
      </c>
    </row>
    <row r="635" spans="1:17" x14ac:dyDescent="0.3">
      <c r="A635" s="2">
        <v>46181</v>
      </c>
      <c r="B635" s="3" t="s">
        <v>681</v>
      </c>
      <c r="C635" s="3" t="s">
        <v>32</v>
      </c>
      <c r="D635" s="3" t="s">
        <v>26</v>
      </c>
      <c r="E635" s="3" t="s">
        <v>48</v>
      </c>
      <c r="F635" s="3" t="s">
        <v>15</v>
      </c>
      <c r="G635" s="3">
        <v>94</v>
      </c>
      <c r="H635" s="4">
        <v>5774</v>
      </c>
      <c r="I635" s="4">
        <v>5400</v>
      </c>
      <c r="J635" s="3" t="s">
        <v>39</v>
      </c>
      <c r="K635" s="3" t="s">
        <v>36</v>
      </c>
      <c r="L635">
        <f t="shared" si="57"/>
        <v>2026</v>
      </c>
      <c r="M635">
        <f t="shared" si="54"/>
        <v>6</v>
      </c>
      <c r="N635" t="str">
        <f t="shared" si="55"/>
        <v>Jun</v>
      </c>
      <c r="O635" t="str">
        <f t="shared" si="56"/>
        <v>2026-06</v>
      </c>
      <c r="P635" t="str">
        <f t="shared" si="58"/>
        <v>2026-W24</v>
      </c>
      <c r="Q635" t="str">
        <f t="shared" si="59"/>
        <v>Mon</v>
      </c>
    </row>
    <row r="636" spans="1:17" x14ac:dyDescent="0.3">
      <c r="A636" s="2">
        <v>46181</v>
      </c>
      <c r="B636" s="3" t="s">
        <v>682</v>
      </c>
      <c r="C636" s="3" t="s">
        <v>12</v>
      </c>
      <c r="D636" s="3" t="s">
        <v>47</v>
      </c>
      <c r="E636" s="3" t="s">
        <v>20</v>
      </c>
      <c r="F636" s="3" t="s">
        <v>21</v>
      </c>
      <c r="G636" s="3">
        <v>23</v>
      </c>
      <c r="H636" s="4">
        <v>972</v>
      </c>
      <c r="I636" s="4">
        <v>1100</v>
      </c>
      <c r="J636" s="3" t="s">
        <v>22</v>
      </c>
      <c r="K636" s="3" t="s">
        <v>30</v>
      </c>
      <c r="L636">
        <f t="shared" si="57"/>
        <v>2026</v>
      </c>
      <c r="M636">
        <f t="shared" si="54"/>
        <v>6</v>
      </c>
      <c r="N636" t="str">
        <f t="shared" si="55"/>
        <v>Jun</v>
      </c>
      <c r="O636" t="str">
        <f t="shared" si="56"/>
        <v>2026-06</v>
      </c>
      <c r="P636" t="str">
        <f t="shared" si="58"/>
        <v>2026-W24</v>
      </c>
      <c r="Q636" t="str">
        <f t="shared" si="59"/>
        <v>Mon</v>
      </c>
    </row>
    <row r="637" spans="1:17" x14ac:dyDescent="0.3">
      <c r="A637" s="2">
        <v>46181</v>
      </c>
      <c r="B637" s="3" t="s">
        <v>683</v>
      </c>
      <c r="C637" s="3" t="s">
        <v>43</v>
      </c>
      <c r="D637" s="3" t="s">
        <v>19</v>
      </c>
      <c r="E637" s="3" t="s">
        <v>29</v>
      </c>
      <c r="F637" s="3" t="s">
        <v>21</v>
      </c>
      <c r="G637" s="3">
        <v>60</v>
      </c>
      <c r="H637" s="4">
        <v>2521</v>
      </c>
      <c r="I637" s="4">
        <v>2200</v>
      </c>
      <c r="J637" s="3" t="s">
        <v>22</v>
      </c>
      <c r="K637" s="3" t="s">
        <v>17</v>
      </c>
      <c r="L637">
        <f t="shared" si="57"/>
        <v>2026</v>
      </c>
      <c r="M637">
        <f t="shared" si="54"/>
        <v>6</v>
      </c>
      <c r="N637" t="str">
        <f t="shared" si="55"/>
        <v>Jun</v>
      </c>
      <c r="O637" t="str">
        <f t="shared" si="56"/>
        <v>2026-06</v>
      </c>
      <c r="P637" t="str">
        <f t="shared" si="58"/>
        <v>2026-W24</v>
      </c>
      <c r="Q637" t="str">
        <f t="shared" si="59"/>
        <v>Mon</v>
      </c>
    </row>
    <row r="638" spans="1:17" x14ac:dyDescent="0.3">
      <c r="A638" s="2">
        <v>46182</v>
      </c>
      <c r="B638" s="3" t="s">
        <v>684</v>
      </c>
      <c r="C638" s="3" t="s">
        <v>12</v>
      </c>
      <c r="D638" s="3" t="s">
        <v>53</v>
      </c>
      <c r="E638" s="3" t="s">
        <v>20</v>
      </c>
      <c r="F638" s="3" t="s">
        <v>21</v>
      </c>
      <c r="G638" s="3">
        <v>55</v>
      </c>
      <c r="H638" s="4">
        <v>2170</v>
      </c>
      <c r="I638" s="4">
        <v>2200</v>
      </c>
      <c r="J638" s="3" t="s">
        <v>22</v>
      </c>
      <c r="K638" s="3" t="s">
        <v>17</v>
      </c>
      <c r="L638">
        <f t="shared" si="57"/>
        <v>2026</v>
      </c>
      <c r="M638">
        <f t="shared" si="54"/>
        <v>6</v>
      </c>
      <c r="N638" t="str">
        <f t="shared" si="55"/>
        <v>Jun</v>
      </c>
      <c r="O638" t="str">
        <f t="shared" si="56"/>
        <v>2026-06</v>
      </c>
      <c r="P638" t="str">
        <f t="shared" si="58"/>
        <v>2026-W24</v>
      </c>
      <c r="Q638" t="str">
        <f t="shared" si="59"/>
        <v>Tue</v>
      </c>
    </row>
    <row r="639" spans="1:17" x14ac:dyDescent="0.3">
      <c r="A639" s="2">
        <v>46182</v>
      </c>
      <c r="B639" s="3" t="s">
        <v>685</v>
      </c>
      <c r="C639" s="3" t="s">
        <v>91</v>
      </c>
      <c r="D639" s="3" t="s">
        <v>26</v>
      </c>
      <c r="E639" s="3" t="s">
        <v>41</v>
      </c>
      <c r="F639" s="3" t="s">
        <v>21</v>
      </c>
      <c r="G639" s="3">
        <v>41</v>
      </c>
      <c r="H639" s="4">
        <v>1973</v>
      </c>
      <c r="I639" s="4">
        <v>2200</v>
      </c>
      <c r="J639" s="3" t="s">
        <v>22</v>
      </c>
      <c r="K639" s="3" t="s">
        <v>36</v>
      </c>
      <c r="L639">
        <f t="shared" si="57"/>
        <v>2026</v>
      </c>
      <c r="M639">
        <f t="shared" si="54"/>
        <v>6</v>
      </c>
      <c r="N639" t="str">
        <f t="shared" si="55"/>
        <v>Jun</v>
      </c>
      <c r="O639" t="str">
        <f t="shared" si="56"/>
        <v>2026-06</v>
      </c>
      <c r="P639" t="str">
        <f t="shared" si="58"/>
        <v>2026-W24</v>
      </c>
      <c r="Q639" t="str">
        <f t="shared" si="59"/>
        <v>Tue</v>
      </c>
    </row>
    <row r="640" spans="1:17" x14ac:dyDescent="0.3">
      <c r="A640" s="2">
        <v>46183</v>
      </c>
      <c r="B640" s="3" t="s">
        <v>686</v>
      </c>
      <c r="C640" s="3" t="s">
        <v>43</v>
      </c>
      <c r="D640" s="3" t="s">
        <v>65</v>
      </c>
      <c r="E640" s="3" t="s">
        <v>41</v>
      </c>
      <c r="F640" s="3" t="s">
        <v>21</v>
      </c>
      <c r="G640" s="3">
        <v>12</v>
      </c>
      <c r="H640" s="4">
        <v>546</v>
      </c>
      <c r="I640" s="4">
        <v>600</v>
      </c>
      <c r="J640" s="3" t="s">
        <v>22</v>
      </c>
      <c r="K640" s="3" t="s">
        <v>17</v>
      </c>
      <c r="L640">
        <f t="shared" si="57"/>
        <v>2026</v>
      </c>
      <c r="M640">
        <f t="shared" si="54"/>
        <v>6</v>
      </c>
      <c r="N640" t="str">
        <f t="shared" si="55"/>
        <v>Jun</v>
      </c>
      <c r="O640" t="str">
        <f t="shared" si="56"/>
        <v>2026-06</v>
      </c>
      <c r="P640" t="str">
        <f t="shared" si="58"/>
        <v>2026-W24</v>
      </c>
      <c r="Q640" t="str">
        <f t="shared" si="59"/>
        <v>Wed</v>
      </c>
    </row>
    <row r="641" spans="1:17" x14ac:dyDescent="0.3">
      <c r="A641" s="2">
        <v>46183</v>
      </c>
      <c r="B641" s="3" t="s">
        <v>687</v>
      </c>
      <c r="C641" s="3" t="s">
        <v>43</v>
      </c>
      <c r="D641" s="3" t="s">
        <v>26</v>
      </c>
      <c r="E641" s="3" t="s">
        <v>48</v>
      </c>
      <c r="F641" s="3" t="s">
        <v>15</v>
      </c>
      <c r="G641" s="3">
        <v>108</v>
      </c>
      <c r="H641" s="4">
        <v>6918</v>
      </c>
      <c r="I641" s="4">
        <v>8400</v>
      </c>
      <c r="J641" s="3" t="s">
        <v>16</v>
      </c>
      <c r="K641" s="3" t="s">
        <v>30</v>
      </c>
      <c r="L641">
        <f t="shared" si="57"/>
        <v>2026</v>
      </c>
      <c r="M641">
        <f t="shared" si="54"/>
        <v>6</v>
      </c>
      <c r="N641" t="str">
        <f t="shared" si="55"/>
        <v>Jun</v>
      </c>
      <c r="O641" t="str">
        <f t="shared" si="56"/>
        <v>2026-06</v>
      </c>
      <c r="P641" t="str">
        <f t="shared" si="58"/>
        <v>2026-W24</v>
      </c>
      <c r="Q641" t="str">
        <f t="shared" si="59"/>
        <v>Wed</v>
      </c>
    </row>
    <row r="642" spans="1:17" x14ac:dyDescent="0.3">
      <c r="A642" s="2">
        <v>46183</v>
      </c>
      <c r="B642" s="3" t="s">
        <v>688</v>
      </c>
      <c r="C642" s="3" t="s">
        <v>32</v>
      </c>
      <c r="D642" s="3" t="s">
        <v>47</v>
      </c>
      <c r="E642" s="3" t="s">
        <v>48</v>
      </c>
      <c r="F642" s="3" t="s">
        <v>15</v>
      </c>
      <c r="G642" s="3">
        <v>42</v>
      </c>
      <c r="H642" s="4">
        <v>2300</v>
      </c>
      <c r="I642" s="4">
        <v>1900</v>
      </c>
      <c r="J642" s="3" t="s">
        <v>16</v>
      </c>
      <c r="K642" s="3" t="s">
        <v>30</v>
      </c>
      <c r="L642">
        <f t="shared" si="57"/>
        <v>2026</v>
      </c>
      <c r="M642">
        <f t="shared" ref="M642:M705" si="60">MONTH($A642)</f>
        <v>6</v>
      </c>
      <c r="N642" t="str">
        <f t="shared" ref="N642:N705" si="61">TEXT($A642,"mmm")</f>
        <v>Jun</v>
      </c>
      <c r="O642" t="str">
        <f t="shared" ref="O642:O705" si="62">YEAR($A642)&amp;"-"&amp;TEXT(MONTH($A642),"00")</f>
        <v>2026-06</v>
      </c>
      <c r="P642" t="str">
        <f t="shared" si="58"/>
        <v>2026-W24</v>
      </c>
      <c r="Q642" t="str">
        <f t="shared" si="59"/>
        <v>Wed</v>
      </c>
    </row>
    <row r="643" spans="1:17" x14ac:dyDescent="0.3">
      <c r="A643" s="2">
        <v>46184</v>
      </c>
      <c r="B643" s="3" t="s">
        <v>689</v>
      </c>
      <c r="C643" s="3" t="s">
        <v>43</v>
      </c>
      <c r="D643" s="3" t="s">
        <v>13</v>
      </c>
      <c r="E643" s="3" t="s">
        <v>41</v>
      </c>
      <c r="F643" s="3" t="s">
        <v>21</v>
      </c>
      <c r="G643" s="3">
        <v>57</v>
      </c>
      <c r="H643" s="4">
        <v>2578</v>
      </c>
      <c r="I643" s="4">
        <v>2800</v>
      </c>
      <c r="J643" s="3" t="s">
        <v>22</v>
      </c>
      <c r="K643" s="3" t="s">
        <v>30</v>
      </c>
      <c r="L643">
        <f t="shared" ref="L643:L706" si="63">YEAR($A643)</f>
        <v>2026</v>
      </c>
      <c r="M643">
        <f t="shared" si="60"/>
        <v>6</v>
      </c>
      <c r="N643" t="str">
        <f t="shared" si="61"/>
        <v>Jun</v>
      </c>
      <c r="O643" t="str">
        <f t="shared" si="62"/>
        <v>2026-06</v>
      </c>
      <c r="P643" t="str">
        <f t="shared" ref="P643:P706" si="64">YEAR($A643)&amp;"-W"&amp;TEXT(WEEKNUM($A643,2),"00")</f>
        <v>2026-W24</v>
      </c>
      <c r="Q643" t="str">
        <f t="shared" ref="Q643:Q706" si="65">CHOOSE(WEEKDAY($A643,2),"Mon","Tue","Wed","Thu","Fri","Sat","Sun")</f>
        <v>Thu</v>
      </c>
    </row>
    <row r="644" spans="1:17" x14ac:dyDescent="0.3">
      <c r="A644" s="2">
        <v>46184</v>
      </c>
      <c r="B644" s="3" t="s">
        <v>690</v>
      </c>
      <c r="C644" s="3" t="s">
        <v>38</v>
      </c>
      <c r="D644" s="3" t="s">
        <v>19</v>
      </c>
      <c r="E644" s="3" t="s">
        <v>61</v>
      </c>
      <c r="F644" s="3" t="s">
        <v>59</v>
      </c>
      <c r="G644" s="3">
        <v>55</v>
      </c>
      <c r="H644" s="4">
        <v>5339</v>
      </c>
      <c r="I644" s="4">
        <v>6200</v>
      </c>
      <c r="J644" s="3" t="s">
        <v>22</v>
      </c>
      <c r="K644" s="3" t="s">
        <v>30</v>
      </c>
      <c r="L644">
        <f t="shared" si="63"/>
        <v>2026</v>
      </c>
      <c r="M644">
        <f t="shared" si="60"/>
        <v>6</v>
      </c>
      <c r="N644" t="str">
        <f t="shared" si="61"/>
        <v>Jun</v>
      </c>
      <c r="O644" t="str">
        <f t="shared" si="62"/>
        <v>2026-06</v>
      </c>
      <c r="P644" t="str">
        <f t="shared" si="64"/>
        <v>2026-W24</v>
      </c>
      <c r="Q644" t="str">
        <f t="shared" si="65"/>
        <v>Thu</v>
      </c>
    </row>
    <row r="645" spans="1:17" x14ac:dyDescent="0.3">
      <c r="A645" s="2">
        <v>46184</v>
      </c>
      <c r="B645" s="3" t="s">
        <v>691</v>
      </c>
      <c r="C645" s="3" t="s">
        <v>43</v>
      </c>
      <c r="D645" s="3" t="s">
        <v>26</v>
      </c>
      <c r="E645" s="3" t="s">
        <v>33</v>
      </c>
      <c r="F645" s="3" t="s">
        <v>34</v>
      </c>
      <c r="G645" s="3">
        <v>28</v>
      </c>
      <c r="H645" s="4">
        <v>2170</v>
      </c>
      <c r="I645" s="4">
        <v>1800</v>
      </c>
      <c r="J645" s="3" t="s">
        <v>16</v>
      </c>
      <c r="K645" s="3" t="s">
        <v>17</v>
      </c>
      <c r="L645">
        <f t="shared" si="63"/>
        <v>2026</v>
      </c>
      <c r="M645">
        <f t="shared" si="60"/>
        <v>6</v>
      </c>
      <c r="N645" t="str">
        <f t="shared" si="61"/>
        <v>Jun</v>
      </c>
      <c r="O645" t="str">
        <f t="shared" si="62"/>
        <v>2026-06</v>
      </c>
      <c r="P645" t="str">
        <f t="shared" si="64"/>
        <v>2026-W24</v>
      </c>
      <c r="Q645" t="str">
        <f t="shared" si="65"/>
        <v>Thu</v>
      </c>
    </row>
    <row r="646" spans="1:17" x14ac:dyDescent="0.3">
      <c r="A646" s="2">
        <v>46184</v>
      </c>
      <c r="B646" s="3" t="s">
        <v>692</v>
      </c>
      <c r="C646" s="3" t="s">
        <v>32</v>
      </c>
      <c r="D646" s="3" t="s">
        <v>53</v>
      </c>
      <c r="E646" s="3" t="s">
        <v>27</v>
      </c>
      <c r="F646" s="3" t="s">
        <v>15</v>
      </c>
      <c r="G646" s="3">
        <v>83</v>
      </c>
      <c r="H646" s="4">
        <v>4152</v>
      </c>
      <c r="I646" s="4">
        <v>5000</v>
      </c>
      <c r="J646" s="3" t="s">
        <v>22</v>
      </c>
      <c r="K646" s="3" t="s">
        <v>36</v>
      </c>
      <c r="L646">
        <f t="shared" si="63"/>
        <v>2026</v>
      </c>
      <c r="M646">
        <f t="shared" si="60"/>
        <v>6</v>
      </c>
      <c r="N646" t="str">
        <f t="shared" si="61"/>
        <v>Jun</v>
      </c>
      <c r="O646" t="str">
        <f t="shared" si="62"/>
        <v>2026-06</v>
      </c>
      <c r="P646" t="str">
        <f t="shared" si="64"/>
        <v>2026-W24</v>
      </c>
      <c r="Q646" t="str">
        <f t="shared" si="65"/>
        <v>Thu</v>
      </c>
    </row>
    <row r="647" spans="1:17" x14ac:dyDescent="0.3">
      <c r="A647" s="2">
        <v>46184</v>
      </c>
      <c r="B647" s="3" t="s">
        <v>693</v>
      </c>
      <c r="C647" s="3" t="s">
        <v>32</v>
      </c>
      <c r="D647" s="3" t="s">
        <v>26</v>
      </c>
      <c r="E647" s="3" t="s">
        <v>44</v>
      </c>
      <c r="F647" s="3" t="s">
        <v>34</v>
      </c>
      <c r="G647" s="3">
        <v>51</v>
      </c>
      <c r="H647" s="4">
        <v>4055</v>
      </c>
      <c r="I647" s="4">
        <v>3400</v>
      </c>
      <c r="J647" s="3" t="s">
        <v>22</v>
      </c>
      <c r="K647" s="3" t="s">
        <v>30</v>
      </c>
      <c r="L647">
        <f t="shared" si="63"/>
        <v>2026</v>
      </c>
      <c r="M647">
        <f t="shared" si="60"/>
        <v>6</v>
      </c>
      <c r="N647" t="str">
        <f t="shared" si="61"/>
        <v>Jun</v>
      </c>
      <c r="O647" t="str">
        <f t="shared" si="62"/>
        <v>2026-06</v>
      </c>
      <c r="P647" t="str">
        <f t="shared" si="64"/>
        <v>2026-W24</v>
      </c>
      <c r="Q647" t="str">
        <f t="shared" si="65"/>
        <v>Thu</v>
      </c>
    </row>
    <row r="648" spans="1:17" x14ac:dyDescent="0.3">
      <c r="A648" s="2">
        <v>46184</v>
      </c>
      <c r="B648" s="3" t="s">
        <v>694</v>
      </c>
      <c r="C648" s="3" t="s">
        <v>38</v>
      </c>
      <c r="D648" s="3" t="s">
        <v>65</v>
      </c>
      <c r="E648" s="3" t="s">
        <v>14</v>
      </c>
      <c r="F648" s="3" t="s">
        <v>15</v>
      </c>
      <c r="G648" s="3">
        <v>93</v>
      </c>
      <c r="H648" s="4">
        <v>6432</v>
      </c>
      <c r="I648" s="4">
        <v>5800</v>
      </c>
      <c r="J648" s="3" t="s">
        <v>22</v>
      </c>
      <c r="K648" s="3" t="s">
        <v>17</v>
      </c>
      <c r="L648">
        <f t="shared" si="63"/>
        <v>2026</v>
      </c>
      <c r="M648">
        <f t="shared" si="60"/>
        <v>6</v>
      </c>
      <c r="N648" t="str">
        <f t="shared" si="61"/>
        <v>Jun</v>
      </c>
      <c r="O648" t="str">
        <f t="shared" si="62"/>
        <v>2026-06</v>
      </c>
      <c r="P648" t="str">
        <f t="shared" si="64"/>
        <v>2026-W24</v>
      </c>
      <c r="Q648" t="str">
        <f t="shared" si="65"/>
        <v>Thu</v>
      </c>
    </row>
    <row r="649" spans="1:17" x14ac:dyDescent="0.3">
      <c r="A649" s="2">
        <v>46185</v>
      </c>
      <c r="B649" s="3" t="s">
        <v>695</v>
      </c>
      <c r="C649" s="3" t="s">
        <v>43</v>
      </c>
      <c r="D649" s="3" t="s">
        <v>26</v>
      </c>
      <c r="E649" s="3" t="s">
        <v>41</v>
      </c>
      <c r="F649" s="3" t="s">
        <v>21</v>
      </c>
      <c r="G649" s="3">
        <v>118</v>
      </c>
      <c r="H649" s="4">
        <v>5215</v>
      </c>
      <c r="I649" s="4">
        <v>4500</v>
      </c>
      <c r="J649" s="3" t="s">
        <v>22</v>
      </c>
      <c r="K649" s="3" t="s">
        <v>30</v>
      </c>
      <c r="L649">
        <f t="shared" si="63"/>
        <v>2026</v>
      </c>
      <c r="M649">
        <f t="shared" si="60"/>
        <v>6</v>
      </c>
      <c r="N649" t="str">
        <f t="shared" si="61"/>
        <v>Jun</v>
      </c>
      <c r="O649" t="str">
        <f t="shared" si="62"/>
        <v>2026-06</v>
      </c>
      <c r="P649" t="str">
        <f t="shared" si="64"/>
        <v>2026-W24</v>
      </c>
      <c r="Q649" t="str">
        <f t="shared" si="65"/>
        <v>Fri</v>
      </c>
    </row>
    <row r="650" spans="1:17" x14ac:dyDescent="0.3">
      <c r="A650" s="2">
        <v>46185</v>
      </c>
      <c r="B650" s="3" t="s">
        <v>696</v>
      </c>
      <c r="C650" s="3" t="s">
        <v>25</v>
      </c>
      <c r="D650" s="3" t="s">
        <v>13</v>
      </c>
      <c r="E650" s="3" t="s">
        <v>41</v>
      </c>
      <c r="F650" s="3" t="s">
        <v>21</v>
      </c>
      <c r="G650" s="3">
        <v>49</v>
      </c>
      <c r="H650" s="4">
        <v>2092</v>
      </c>
      <c r="I650" s="4">
        <v>2000</v>
      </c>
      <c r="J650" s="3" t="s">
        <v>39</v>
      </c>
      <c r="K650" s="3" t="s">
        <v>36</v>
      </c>
      <c r="L650">
        <f t="shared" si="63"/>
        <v>2026</v>
      </c>
      <c r="M650">
        <f t="shared" si="60"/>
        <v>6</v>
      </c>
      <c r="N650" t="str">
        <f t="shared" si="61"/>
        <v>Jun</v>
      </c>
      <c r="O650" t="str">
        <f t="shared" si="62"/>
        <v>2026-06</v>
      </c>
      <c r="P650" t="str">
        <f t="shared" si="64"/>
        <v>2026-W24</v>
      </c>
      <c r="Q650" t="str">
        <f t="shared" si="65"/>
        <v>Fri</v>
      </c>
    </row>
    <row r="651" spans="1:17" x14ac:dyDescent="0.3">
      <c r="A651" s="2">
        <v>46185</v>
      </c>
      <c r="B651" s="3" t="s">
        <v>697</v>
      </c>
      <c r="C651" s="3" t="s">
        <v>43</v>
      </c>
      <c r="D651" s="3" t="s">
        <v>26</v>
      </c>
      <c r="E651" s="3" t="s">
        <v>61</v>
      </c>
      <c r="F651" s="3" t="s">
        <v>59</v>
      </c>
      <c r="G651" s="3">
        <v>73</v>
      </c>
      <c r="H651" s="4">
        <v>8657</v>
      </c>
      <c r="I651" s="4">
        <v>8000</v>
      </c>
      <c r="J651" s="3" t="s">
        <v>22</v>
      </c>
      <c r="K651" s="3" t="s">
        <v>36</v>
      </c>
      <c r="L651">
        <f t="shared" si="63"/>
        <v>2026</v>
      </c>
      <c r="M651">
        <f t="shared" si="60"/>
        <v>6</v>
      </c>
      <c r="N651" t="str">
        <f t="shared" si="61"/>
        <v>Jun</v>
      </c>
      <c r="O651" t="str">
        <f t="shared" si="62"/>
        <v>2026-06</v>
      </c>
      <c r="P651" t="str">
        <f t="shared" si="64"/>
        <v>2026-W24</v>
      </c>
      <c r="Q651" t="str">
        <f t="shared" si="65"/>
        <v>Fri</v>
      </c>
    </row>
    <row r="652" spans="1:17" x14ac:dyDescent="0.3">
      <c r="A652" s="2">
        <v>46186</v>
      </c>
      <c r="B652" s="3" t="s">
        <v>698</v>
      </c>
      <c r="C652" s="3" t="s">
        <v>12</v>
      </c>
      <c r="D652" s="3" t="s">
        <v>19</v>
      </c>
      <c r="E652" s="3" t="s">
        <v>44</v>
      </c>
      <c r="F652" s="3" t="s">
        <v>34</v>
      </c>
      <c r="G652" s="3">
        <v>57</v>
      </c>
      <c r="H652" s="4">
        <v>3795</v>
      </c>
      <c r="I652" s="4">
        <v>3600</v>
      </c>
      <c r="J652" s="3" t="s">
        <v>22</v>
      </c>
      <c r="K652" s="3" t="s">
        <v>36</v>
      </c>
      <c r="L652">
        <f t="shared" si="63"/>
        <v>2026</v>
      </c>
      <c r="M652">
        <f t="shared" si="60"/>
        <v>6</v>
      </c>
      <c r="N652" t="str">
        <f t="shared" si="61"/>
        <v>Jun</v>
      </c>
      <c r="O652" t="str">
        <f t="shared" si="62"/>
        <v>2026-06</v>
      </c>
      <c r="P652" t="str">
        <f t="shared" si="64"/>
        <v>2026-W24</v>
      </c>
      <c r="Q652" t="str">
        <f t="shared" si="65"/>
        <v>Sat</v>
      </c>
    </row>
    <row r="653" spans="1:17" x14ac:dyDescent="0.3">
      <c r="A653" s="2">
        <v>46187</v>
      </c>
      <c r="B653" s="3" t="s">
        <v>699</v>
      </c>
      <c r="C653" s="3" t="s">
        <v>12</v>
      </c>
      <c r="D653" s="3" t="s">
        <v>53</v>
      </c>
      <c r="E653" s="3" t="s">
        <v>48</v>
      </c>
      <c r="F653" s="3" t="s">
        <v>15</v>
      </c>
      <c r="G653" s="3">
        <v>15</v>
      </c>
      <c r="H653" s="4">
        <v>799</v>
      </c>
      <c r="I653" s="4">
        <v>700</v>
      </c>
      <c r="J653" s="3" t="s">
        <v>22</v>
      </c>
      <c r="K653" s="3" t="s">
        <v>17</v>
      </c>
      <c r="L653">
        <f t="shared" si="63"/>
        <v>2026</v>
      </c>
      <c r="M653">
        <f t="shared" si="60"/>
        <v>6</v>
      </c>
      <c r="N653" t="str">
        <f t="shared" si="61"/>
        <v>Jun</v>
      </c>
      <c r="O653" t="str">
        <f t="shared" si="62"/>
        <v>2026-06</v>
      </c>
      <c r="P653" t="str">
        <f t="shared" si="64"/>
        <v>2026-W24</v>
      </c>
      <c r="Q653" t="str">
        <f t="shared" si="65"/>
        <v>Sun</v>
      </c>
    </row>
    <row r="654" spans="1:17" x14ac:dyDescent="0.3">
      <c r="A654" s="2">
        <v>46188</v>
      </c>
      <c r="B654" s="3" t="s">
        <v>700</v>
      </c>
      <c r="C654" s="3" t="s">
        <v>32</v>
      </c>
      <c r="D654" s="3" t="s">
        <v>26</v>
      </c>
      <c r="E654" s="3" t="s">
        <v>41</v>
      </c>
      <c r="F654" s="3" t="s">
        <v>21</v>
      </c>
      <c r="G654" s="3">
        <v>106</v>
      </c>
      <c r="H654" s="4">
        <v>4268</v>
      </c>
      <c r="I654" s="4">
        <v>4400</v>
      </c>
      <c r="J654" s="3" t="s">
        <v>16</v>
      </c>
      <c r="K654" s="3" t="s">
        <v>30</v>
      </c>
      <c r="L654">
        <f t="shared" si="63"/>
        <v>2026</v>
      </c>
      <c r="M654">
        <f t="shared" si="60"/>
        <v>6</v>
      </c>
      <c r="N654" t="str">
        <f t="shared" si="61"/>
        <v>Jun</v>
      </c>
      <c r="O654" t="str">
        <f t="shared" si="62"/>
        <v>2026-06</v>
      </c>
      <c r="P654" t="str">
        <f t="shared" si="64"/>
        <v>2026-W25</v>
      </c>
      <c r="Q654" t="str">
        <f t="shared" si="65"/>
        <v>Mon</v>
      </c>
    </row>
    <row r="655" spans="1:17" x14ac:dyDescent="0.3">
      <c r="A655" s="2">
        <v>46188</v>
      </c>
      <c r="B655" s="3" t="s">
        <v>701</v>
      </c>
      <c r="C655" s="3" t="s">
        <v>12</v>
      </c>
      <c r="D655" s="3" t="s">
        <v>13</v>
      </c>
      <c r="E655" s="3" t="s">
        <v>33</v>
      </c>
      <c r="F655" s="3" t="s">
        <v>34</v>
      </c>
      <c r="G655" s="3">
        <v>103</v>
      </c>
      <c r="H655" s="4">
        <v>6375</v>
      </c>
      <c r="I655" s="4">
        <v>6000</v>
      </c>
      <c r="J655" s="3" t="s">
        <v>16</v>
      </c>
      <c r="K655" s="3" t="s">
        <v>23</v>
      </c>
      <c r="L655">
        <f t="shared" si="63"/>
        <v>2026</v>
      </c>
      <c r="M655">
        <f t="shared" si="60"/>
        <v>6</v>
      </c>
      <c r="N655" t="str">
        <f t="shared" si="61"/>
        <v>Jun</v>
      </c>
      <c r="O655" t="str">
        <f t="shared" si="62"/>
        <v>2026-06</v>
      </c>
      <c r="P655" t="str">
        <f t="shared" si="64"/>
        <v>2026-W25</v>
      </c>
      <c r="Q655" t="str">
        <f t="shared" si="65"/>
        <v>Mon</v>
      </c>
    </row>
    <row r="656" spans="1:17" x14ac:dyDescent="0.3">
      <c r="A656" s="2">
        <v>46188</v>
      </c>
      <c r="B656" s="3" t="s">
        <v>702</v>
      </c>
      <c r="C656" s="3" t="s">
        <v>38</v>
      </c>
      <c r="D656" s="3" t="s">
        <v>19</v>
      </c>
      <c r="E656" s="3" t="s">
        <v>27</v>
      </c>
      <c r="F656" s="3" t="s">
        <v>15</v>
      </c>
      <c r="G656" s="3">
        <v>20</v>
      </c>
      <c r="H656" s="4">
        <v>1390</v>
      </c>
      <c r="I656" s="4">
        <v>1600</v>
      </c>
      <c r="J656" s="3" t="s">
        <v>22</v>
      </c>
      <c r="K656" s="3" t="s">
        <v>17</v>
      </c>
      <c r="L656">
        <f t="shared" si="63"/>
        <v>2026</v>
      </c>
      <c r="M656">
        <f t="shared" si="60"/>
        <v>6</v>
      </c>
      <c r="N656" t="str">
        <f t="shared" si="61"/>
        <v>Jun</v>
      </c>
      <c r="O656" t="str">
        <f t="shared" si="62"/>
        <v>2026-06</v>
      </c>
      <c r="P656" t="str">
        <f t="shared" si="64"/>
        <v>2026-W25</v>
      </c>
      <c r="Q656" t="str">
        <f t="shared" si="65"/>
        <v>Mon</v>
      </c>
    </row>
    <row r="657" spans="1:17" x14ac:dyDescent="0.3">
      <c r="A657" s="2">
        <v>46188</v>
      </c>
      <c r="B657" s="3" t="s">
        <v>703</v>
      </c>
      <c r="C657" s="3" t="s">
        <v>32</v>
      </c>
      <c r="D657" s="3" t="s">
        <v>26</v>
      </c>
      <c r="E657" s="3" t="s">
        <v>44</v>
      </c>
      <c r="F657" s="3" t="s">
        <v>34</v>
      </c>
      <c r="G657" s="3">
        <v>84</v>
      </c>
      <c r="H657" s="4">
        <v>6546</v>
      </c>
      <c r="I657" s="4">
        <v>6200</v>
      </c>
      <c r="J657" s="3" t="s">
        <v>39</v>
      </c>
      <c r="K657" s="3" t="s">
        <v>23</v>
      </c>
      <c r="L657">
        <f t="shared" si="63"/>
        <v>2026</v>
      </c>
      <c r="M657">
        <f t="shared" si="60"/>
        <v>6</v>
      </c>
      <c r="N657" t="str">
        <f t="shared" si="61"/>
        <v>Jun</v>
      </c>
      <c r="O657" t="str">
        <f t="shared" si="62"/>
        <v>2026-06</v>
      </c>
      <c r="P657" t="str">
        <f t="shared" si="64"/>
        <v>2026-W25</v>
      </c>
      <c r="Q657" t="str">
        <f t="shared" si="65"/>
        <v>Mon</v>
      </c>
    </row>
    <row r="658" spans="1:17" x14ac:dyDescent="0.3">
      <c r="A658" s="2">
        <v>46189</v>
      </c>
      <c r="B658" s="3" t="s">
        <v>704</v>
      </c>
      <c r="C658" s="3" t="s">
        <v>43</v>
      </c>
      <c r="D658" s="3" t="s">
        <v>53</v>
      </c>
      <c r="E658" s="3" t="s">
        <v>44</v>
      </c>
      <c r="F658" s="3" t="s">
        <v>34</v>
      </c>
      <c r="G658" s="3">
        <v>38</v>
      </c>
      <c r="H658" s="4">
        <v>2306</v>
      </c>
      <c r="I658" s="4">
        <v>2400</v>
      </c>
      <c r="J658" s="3" t="s">
        <v>22</v>
      </c>
      <c r="K658" s="3" t="s">
        <v>30</v>
      </c>
      <c r="L658">
        <f t="shared" si="63"/>
        <v>2026</v>
      </c>
      <c r="M658">
        <f t="shared" si="60"/>
        <v>6</v>
      </c>
      <c r="N658" t="str">
        <f t="shared" si="61"/>
        <v>Jun</v>
      </c>
      <c r="O658" t="str">
        <f t="shared" si="62"/>
        <v>2026-06</v>
      </c>
      <c r="P658" t="str">
        <f t="shared" si="64"/>
        <v>2026-W25</v>
      </c>
      <c r="Q658" t="str">
        <f t="shared" si="65"/>
        <v>Tue</v>
      </c>
    </row>
    <row r="659" spans="1:17" x14ac:dyDescent="0.3">
      <c r="A659" s="2">
        <v>46189</v>
      </c>
      <c r="B659" s="3" t="s">
        <v>705</v>
      </c>
      <c r="C659" s="3" t="s">
        <v>12</v>
      </c>
      <c r="D659" s="3" t="s">
        <v>19</v>
      </c>
      <c r="E659" s="3" t="s">
        <v>20</v>
      </c>
      <c r="F659" s="3" t="s">
        <v>21</v>
      </c>
      <c r="G659" s="3">
        <v>112</v>
      </c>
      <c r="H659" s="4">
        <v>5454</v>
      </c>
      <c r="I659" s="4">
        <v>5100</v>
      </c>
      <c r="J659" s="3" t="s">
        <v>22</v>
      </c>
      <c r="K659" s="3" t="s">
        <v>30</v>
      </c>
      <c r="L659">
        <f t="shared" si="63"/>
        <v>2026</v>
      </c>
      <c r="M659">
        <f t="shared" si="60"/>
        <v>6</v>
      </c>
      <c r="N659" t="str">
        <f t="shared" si="61"/>
        <v>Jun</v>
      </c>
      <c r="O659" t="str">
        <f t="shared" si="62"/>
        <v>2026-06</v>
      </c>
      <c r="P659" t="str">
        <f t="shared" si="64"/>
        <v>2026-W25</v>
      </c>
      <c r="Q659" t="str">
        <f t="shared" si="65"/>
        <v>Tue</v>
      </c>
    </row>
    <row r="660" spans="1:17" x14ac:dyDescent="0.3">
      <c r="A660" s="2">
        <v>46189</v>
      </c>
      <c r="B660" s="3" t="s">
        <v>706</v>
      </c>
      <c r="C660" s="3" t="s">
        <v>32</v>
      </c>
      <c r="D660" s="3" t="s">
        <v>53</v>
      </c>
      <c r="E660" s="3" t="s">
        <v>29</v>
      </c>
      <c r="F660" s="3" t="s">
        <v>21</v>
      </c>
      <c r="G660" s="3">
        <v>76</v>
      </c>
      <c r="H660" s="4">
        <v>3562</v>
      </c>
      <c r="I660" s="4">
        <v>4000</v>
      </c>
      <c r="J660" s="3" t="s">
        <v>22</v>
      </c>
      <c r="K660" s="3" t="s">
        <v>30</v>
      </c>
      <c r="L660">
        <f t="shared" si="63"/>
        <v>2026</v>
      </c>
      <c r="M660">
        <f t="shared" si="60"/>
        <v>6</v>
      </c>
      <c r="N660" t="str">
        <f t="shared" si="61"/>
        <v>Jun</v>
      </c>
      <c r="O660" t="str">
        <f t="shared" si="62"/>
        <v>2026-06</v>
      </c>
      <c r="P660" t="str">
        <f t="shared" si="64"/>
        <v>2026-W25</v>
      </c>
      <c r="Q660" t="str">
        <f t="shared" si="65"/>
        <v>Tue</v>
      </c>
    </row>
    <row r="661" spans="1:17" x14ac:dyDescent="0.3">
      <c r="A661" s="2">
        <v>46190</v>
      </c>
      <c r="B661" s="3" t="s">
        <v>707</v>
      </c>
      <c r="C661" s="3" t="s">
        <v>43</v>
      </c>
      <c r="D661" s="3" t="s">
        <v>26</v>
      </c>
      <c r="E661" s="3" t="s">
        <v>27</v>
      </c>
      <c r="F661" s="3" t="s">
        <v>15</v>
      </c>
      <c r="G661" s="3">
        <v>26</v>
      </c>
      <c r="H661" s="4">
        <v>1518</v>
      </c>
      <c r="I661" s="4">
        <v>1900</v>
      </c>
      <c r="J661" s="3" t="s">
        <v>22</v>
      </c>
      <c r="K661" s="3" t="s">
        <v>17</v>
      </c>
      <c r="L661">
        <f t="shared" si="63"/>
        <v>2026</v>
      </c>
      <c r="M661">
        <f t="shared" si="60"/>
        <v>6</v>
      </c>
      <c r="N661" t="str">
        <f t="shared" si="61"/>
        <v>Jun</v>
      </c>
      <c r="O661" t="str">
        <f t="shared" si="62"/>
        <v>2026-06</v>
      </c>
      <c r="P661" t="str">
        <f t="shared" si="64"/>
        <v>2026-W25</v>
      </c>
      <c r="Q661" t="str">
        <f t="shared" si="65"/>
        <v>Wed</v>
      </c>
    </row>
    <row r="662" spans="1:17" x14ac:dyDescent="0.3">
      <c r="A662" s="2">
        <v>46190</v>
      </c>
      <c r="B662" s="3" t="s">
        <v>708</v>
      </c>
      <c r="C662" s="3" t="s">
        <v>50</v>
      </c>
      <c r="D662" s="3" t="s">
        <v>47</v>
      </c>
      <c r="E662" s="3" t="s">
        <v>58</v>
      </c>
      <c r="F662" s="3" t="s">
        <v>59</v>
      </c>
      <c r="G662" s="3">
        <v>49</v>
      </c>
      <c r="H662" s="4">
        <v>5853</v>
      </c>
      <c r="I662" s="4">
        <v>6500</v>
      </c>
      <c r="J662" s="3" t="s">
        <v>22</v>
      </c>
      <c r="K662" s="3" t="s">
        <v>36</v>
      </c>
      <c r="L662">
        <f t="shared" si="63"/>
        <v>2026</v>
      </c>
      <c r="M662">
        <f t="shared" si="60"/>
        <v>6</v>
      </c>
      <c r="N662" t="str">
        <f t="shared" si="61"/>
        <v>Jun</v>
      </c>
      <c r="O662" t="str">
        <f t="shared" si="62"/>
        <v>2026-06</v>
      </c>
      <c r="P662" t="str">
        <f t="shared" si="64"/>
        <v>2026-W25</v>
      </c>
      <c r="Q662" t="str">
        <f t="shared" si="65"/>
        <v>Wed</v>
      </c>
    </row>
    <row r="663" spans="1:17" x14ac:dyDescent="0.3">
      <c r="A663" s="2">
        <v>46190</v>
      </c>
      <c r="B663" s="3" t="s">
        <v>709</v>
      </c>
      <c r="C663" s="3" t="s">
        <v>32</v>
      </c>
      <c r="D663" s="3" t="s">
        <v>26</v>
      </c>
      <c r="E663" s="3" t="s">
        <v>20</v>
      </c>
      <c r="F663" s="3" t="s">
        <v>21</v>
      </c>
      <c r="G663" s="3">
        <v>74</v>
      </c>
      <c r="H663" s="4">
        <v>2873</v>
      </c>
      <c r="I663" s="4">
        <v>3300</v>
      </c>
      <c r="J663" s="3" t="s">
        <v>22</v>
      </c>
      <c r="K663" s="3" t="s">
        <v>36</v>
      </c>
      <c r="L663">
        <f t="shared" si="63"/>
        <v>2026</v>
      </c>
      <c r="M663">
        <f t="shared" si="60"/>
        <v>6</v>
      </c>
      <c r="N663" t="str">
        <f t="shared" si="61"/>
        <v>Jun</v>
      </c>
      <c r="O663" t="str">
        <f t="shared" si="62"/>
        <v>2026-06</v>
      </c>
      <c r="P663" t="str">
        <f t="shared" si="64"/>
        <v>2026-W25</v>
      </c>
      <c r="Q663" t="str">
        <f t="shared" si="65"/>
        <v>Wed</v>
      </c>
    </row>
    <row r="664" spans="1:17" x14ac:dyDescent="0.3">
      <c r="A664" s="2">
        <v>46190</v>
      </c>
      <c r="B664" s="3" t="s">
        <v>710</v>
      </c>
      <c r="C664" s="3" t="s">
        <v>32</v>
      </c>
      <c r="D664" s="3" t="s">
        <v>26</v>
      </c>
      <c r="E664" s="3" t="s">
        <v>61</v>
      </c>
      <c r="F664" s="3" t="s">
        <v>59</v>
      </c>
      <c r="G664" s="3">
        <v>81</v>
      </c>
      <c r="H664" s="4">
        <v>10616</v>
      </c>
      <c r="I664" s="4">
        <v>8600</v>
      </c>
      <c r="J664" s="3" t="s">
        <v>22</v>
      </c>
      <c r="K664" s="3" t="s">
        <v>36</v>
      </c>
      <c r="L664">
        <f t="shared" si="63"/>
        <v>2026</v>
      </c>
      <c r="M664">
        <f t="shared" si="60"/>
        <v>6</v>
      </c>
      <c r="N664" t="str">
        <f t="shared" si="61"/>
        <v>Jun</v>
      </c>
      <c r="O664" t="str">
        <f t="shared" si="62"/>
        <v>2026-06</v>
      </c>
      <c r="P664" t="str">
        <f t="shared" si="64"/>
        <v>2026-W25</v>
      </c>
      <c r="Q664" t="str">
        <f t="shared" si="65"/>
        <v>Wed</v>
      </c>
    </row>
    <row r="665" spans="1:17" x14ac:dyDescent="0.3">
      <c r="A665" s="2">
        <v>46191</v>
      </c>
      <c r="B665" s="3" t="s">
        <v>711</v>
      </c>
      <c r="C665" s="3" t="s">
        <v>12</v>
      </c>
      <c r="D665" s="3" t="s">
        <v>53</v>
      </c>
      <c r="E665" s="3" t="s">
        <v>68</v>
      </c>
      <c r="F665" s="3" t="s">
        <v>34</v>
      </c>
      <c r="G665" s="3">
        <v>49</v>
      </c>
      <c r="H665" s="4">
        <v>3871</v>
      </c>
      <c r="I665" s="4">
        <v>3800</v>
      </c>
      <c r="J665" s="3" t="s">
        <v>22</v>
      </c>
      <c r="K665" s="3" t="s">
        <v>30</v>
      </c>
      <c r="L665">
        <f t="shared" si="63"/>
        <v>2026</v>
      </c>
      <c r="M665">
        <f t="shared" si="60"/>
        <v>6</v>
      </c>
      <c r="N665" t="str">
        <f t="shared" si="61"/>
        <v>Jun</v>
      </c>
      <c r="O665" t="str">
        <f t="shared" si="62"/>
        <v>2026-06</v>
      </c>
      <c r="P665" t="str">
        <f t="shared" si="64"/>
        <v>2026-W25</v>
      </c>
      <c r="Q665" t="str">
        <f t="shared" si="65"/>
        <v>Thu</v>
      </c>
    </row>
    <row r="666" spans="1:17" x14ac:dyDescent="0.3">
      <c r="A666" s="2">
        <v>46191</v>
      </c>
      <c r="B666" s="3" t="s">
        <v>712</v>
      </c>
      <c r="C666" s="3" t="s">
        <v>91</v>
      </c>
      <c r="D666" s="3" t="s">
        <v>53</v>
      </c>
      <c r="E666" s="3" t="s">
        <v>68</v>
      </c>
      <c r="F666" s="3" t="s">
        <v>34</v>
      </c>
      <c r="G666" s="3">
        <v>56</v>
      </c>
      <c r="H666" s="4">
        <v>3816</v>
      </c>
      <c r="I666" s="4">
        <v>4600</v>
      </c>
      <c r="J666" s="3" t="s">
        <v>22</v>
      </c>
      <c r="K666" s="3" t="s">
        <v>30</v>
      </c>
      <c r="L666">
        <f t="shared" si="63"/>
        <v>2026</v>
      </c>
      <c r="M666">
        <f t="shared" si="60"/>
        <v>6</v>
      </c>
      <c r="N666" t="str">
        <f t="shared" si="61"/>
        <v>Jun</v>
      </c>
      <c r="O666" t="str">
        <f t="shared" si="62"/>
        <v>2026-06</v>
      </c>
      <c r="P666" t="str">
        <f t="shared" si="64"/>
        <v>2026-W25</v>
      </c>
      <c r="Q666" t="str">
        <f t="shared" si="65"/>
        <v>Thu</v>
      </c>
    </row>
    <row r="667" spans="1:17" x14ac:dyDescent="0.3">
      <c r="A667" s="2">
        <v>46191</v>
      </c>
      <c r="B667" s="3" t="s">
        <v>713</v>
      </c>
      <c r="C667" s="3" t="s">
        <v>50</v>
      </c>
      <c r="D667" s="3" t="s">
        <v>53</v>
      </c>
      <c r="E667" s="3" t="s">
        <v>123</v>
      </c>
      <c r="F667" s="3" t="s">
        <v>59</v>
      </c>
      <c r="G667" s="3">
        <v>90</v>
      </c>
      <c r="H667" s="4">
        <v>11386</v>
      </c>
      <c r="I667" s="4">
        <v>13800</v>
      </c>
      <c r="J667" s="3" t="s">
        <v>22</v>
      </c>
      <c r="K667" s="3" t="s">
        <v>17</v>
      </c>
      <c r="L667">
        <f t="shared" si="63"/>
        <v>2026</v>
      </c>
      <c r="M667">
        <f t="shared" si="60"/>
        <v>6</v>
      </c>
      <c r="N667" t="str">
        <f t="shared" si="61"/>
        <v>Jun</v>
      </c>
      <c r="O667" t="str">
        <f t="shared" si="62"/>
        <v>2026-06</v>
      </c>
      <c r="P667" t="str">
        <f t="shared" si="64"/>
        <v>2026-W25</v>
      </c>
      <c r="Q667" t="str">
        <f t="shared" si="65"/>
        <v>Thu</v>
      </c>
    </row>
    <row r="668" spans="1:17" x14ac:dyDescent="0.3">
      <c r="A668" s="2">
        <v>46192</v>
      </c>
      <c r="B668" s="3" t="s">
        <v>714</v>
      </c>
      <c r="C668" s="3" t="s">
        <v>43</v>
      </c>
      <c r="D668" s="3" t="s">
        <v>26</v>
      </c>
      <c r="E668" s="3" t="s">
        <v>27</v>
      </c>
      <c r="F668" s="3" t="s">
        <v>15</v>
      </c>
      <c r="G668" s="3">
        <v>96</v>
      </c>
      <c r="H668" s="4">
        <v>5031</v>
      </c>
      <c r="I668" s="4">
        <v>4200</v>
      </c>
      <c r="J668" s="3" t="s">
        <v>16</v>
      </c>
      <c r="K668" s="3" t="s">
        <v>36</v>
      </c>
      <c r="L668">
        <f t="shared" si="63"/>
        <v>2026</v>
      </c>
      <c r="M668">
        <f t="shared" si="60"/>
        <v>6</v>
      </c>
      <c r="N668" t="str">
        <f t="shared" si="61"/>
        <v>Jun</v>
      </c>
      <c r="O668" t="str">
        <f t="shared" si="62"/>
        <v>2026-06</v>
      </c>
      <c r="P668" t="str">
        <f t="shared" si="64"/>
        <v>2026-W25</v>
      </c>
      <c r="Q668" t="str">
        <f t="shared" si="65"/>
        <v>Fri</v>
      </c>
    </row>
    <row r="669" spans="1:17" x14ac:dyDescent="0.3">
      <c r="A669" s="2">
        <v>46192</v>
      </c>
      <c r="B669" s="3" t="s">
        <v>715</v>
      </c>
      <c r="C669" s="3" t="s">
        <v>12</v>
      </c>
      <c r="D669" s="3" t="s">
        <v>26</v>
      </c>
      <c r="E669" s="3" t="s">
        <v>14</v>
      </c>
      <c r="F669" s="3" t="s">
        <v>15</v>
      </c>
      <c r="G669" s="3">
        <v>66</v>
      </c>
      <c r="H669" s="4">
        <v>3974</v>
      </c>
      <c r="I669" s="4">
        <v>4900</v>
      </c>
      <c r="J669" s="3" t="s">
        <v>22</v>
      </c>
      <c r="K669" s="3" t="s">
        <v>36</v>
      </c>
      <c r="L669">
        <f t="shared" si="63"/>
        <v>2026</v>
      </c>
      <c r="M669">
        <f t="shared" si="60"/>
        <v>6</v>
      </c>
      <c r="N669" t="str">
        <f t="shared" si="61"/>
        <v>Jun</v>
      </c>
      <c r="O669" t="str">
        <f t="shared" si="62"/>
        <v>2026-06</v>
      </c>
      <c r="P669" t="str">
        <f t="shared" si="64"/>
        <v>2026-W25</v>
      </c>
      <c r="Q669" t="str">
        <f t="shared" si="65"/>
        <v>Fri</v>
      </c>
    </row>
    <row r="670" spans="1:17" x14ac:dyDescent="0.3">
      <c r="A670" s="2">
        <v>46193</v>
      </c>
      <c r="B670" s="3" t="s">
        <v>716</v>
      </c>
      <c r="C670" s="3" t="s">
        <v>32</v>
      </c>
      <c r="D670" s="3" t="s">
        <v>47</v>
      </c>
      <c r="E670" s="3" t="s">
        <v>68</v>
      </c>
      <c r="F670" s="3" t="s">
        <v>34</v>
      </c>
      <c r="G670" s="3">
        <v>21</v>
      </c>
      <c r="H670" s="4">
        <v>1266</v>
      </c>
      <c r="I670" s="4">
        <v>1300</v>
      </c>
      <c r="J670" s="3" t="s">
        <v>22</v>
      </c>
      <c r="K670" s="3" t="s">
        <v>17</v>
      </c>
      <c r="L670">
        <f t="shared" si="63"/>
        <v>2026</v>
      </c>
      <c r="M670">
        <f t="shared" si="60"/>
        <v>6</v>
      </c>
      <c r="N670" t="str">
        <f t="shared" si="61"/>
        <v>Jun</v>
      </c>
      <c r="O670" t="str">
        <f t="shared" si="62"/>
        <v>2026-06</v>
      </c>
      <c r="P670" t="str">
        <f t="shared" si="64"/>
        <v>2026-W25</v>
      </c>
      <c r="Q670" t="str">
        <f t="shared" si="65"/>
        <v>Sat</v>
      </c>
    </row>
    <row r="671" spans="1:17" x14ac:dyDescent="0.3">
      <c r="A671" s="2">
        <v>46193</v>
      </c>
      <c r="B671" s="3" t="s">
        <v>717</v>
      </c>
      <c r="C671" s="3" t="s">
        <v>43</v>
      </c>
      <c r="D671" s="3" t="s">
        <v>26</v>
      </c>
      <c r="E671" s="3" t="s">
        <v>33</v>
      </c>
      <c r="F671" s="3" t="s">
        <v>34</v>
      </c>
      <c r="G671" s="3">
        <v>95</v>
      </c>
      <c r="H671" s="4">
        <v>6944</v>
      </c>
      <c r="I671" s="4">
        <v>8300</v>
      </c>
      <c r="J671" s="3" t="s">
        <v>22</v>
      </c>
      <c r="K671" s="3" t="s">
        <v>36</v>
      </c>
      <c r="L671">
        <f t="shared" si="63"/>
        <v>2026</v>
      </c>
      <c r="M671">
        <f t="shared" si="60"/>
        <v>6</v>
      </c>
      <c r="N671" t="str">
        <f t="shared" si="61"/>
        <v>Jun</v>
      </c>
      <c r="O671" t="str">
        <f t="shared" si="62"/>
        <v>2026-06</v>
      </c>
      <c r="P671" t="str">
        <f t="shared" si="64"/>
        <v>2026-W25</v>
      </c>
      <c r="Q671" t="str">
        <f t="shared" si="65"/>
        <v>Sat</v>
      </c>
    </row>
    <row r="672" spans="1:17" x14ac:dyDescent="0.3">
      <c r="A672" s="2">
        <v>46193</v>
      </c>
      <c r="B672" s="3" t="s">
        <v>718</v>
      </c>
      <c r="C672" s="3" t="s">
        <v>32</v>
      </c>
      <c r="D672" s="3" t="s">
        <v>26</v>
      </c>
      <c r="E672" s="3" t="s">
        <v>20</v>
      </c>
      <c r="F672" s="3" t="s">
        <v>21</v>
      </c>
      <c r="G672" s="3">
        <v>116</v>
      </c>
      <c r="H672" s="4">
        <v>5671</v>
      </c>
      <c r="I672" s="4">
        <v>4700</v>
      </c>
      <c r="J672" s="3" t="s">
        <v>22</v>
      </c>
      <c r="K672" s="3" t="s">
        <v>36</v>
      </c>
      <c r="L672">
        <f t="shared" si="63"/>
        <v>2026</v>
      </c>
      <c r="M672">
        <f t="shared" si="60"/>
        <v>6</v>
      </c>
      <c r="N672" t="str">
        <f t="shared" si="61"/>
        <v>Jun</v>
      </c>
      <c r="O672" t="str">
        <f t="shared" si="62"/>
        <v>2026-06</v>
      </c>
      <c r="P672" t="str">
        <f t="shared" si="64"/>
        <v>2026-W25</v>
      </c>
      <c r="Q672" t="str">
        <f t="shared" si="65"/>
        <v>Sat</v>
      </c>
    </row>
    <row r="673" spans="1:17" x14ac:dyDescent="0.3">
      <c r="A673" s="2">
        <v>46194</v>
      </c>
      <c r="B673" s="3" t="s">
        <v>719</v>
      </c>
      <c r="C673" s="3" t="s">
        <v>38</v>
      </c>
      <c r="D673" s="3" t="s">
        <v>26</v>
      </c>
      <c r="E673" s="3" t="s">
        <v>68</v>
      </c>
      <c r="F673" s="3" t="s">
        <v>34</v>
      </c>
      <c r="G673" s="3">
        <v>60</v>
      </c>
      <c r="H673" s="4">
        <v>4782</v>
      </c>
      <c r="I673" s="4">
        <v>5200</v>
      </c>
      <c r="J673" s="3" t="s">
        <v>22</v>
      </c>
      <c r="K673" s="3" t="s">
        <v>30</v>
      </c>
      <c r="L673">
        <f t="shared" si="63"/>
        <v>2026</v>
      </c>
      <c r="M673">
        <f t="shared" si="60"/>
        <v>6</v>
      </c>
      <c r="N673" t="str">
        <f t="shared" si="61"/>
        <v>Jun</v>
      </c>
      <c r="O673" t="str">
        <f t="shared" si="62"/>
        <v>2026-06</v>
      </c>
      <c r="P673" t="str">
        <f t="shared" si="64"/>
        <v>2026-W25</v>
      </c>
      <c r="Q673" t="str">
        <f t="shared" si="65"/>
        <v>Sun</v>
      </c>
    </row>
    <row r="674" spans="1:17" x14ac:dyDescent="0.3">
      <c r="A674" s="2">
        <v>46194</v>
      </c>
      <c r="B674" s="3" t="s">
        <v>720</v>
      </c>
      <c r="C674" s="3" t="s">
        <v>43</v>
      </c>
      <c r="D674" s="3" t="s">
        <v>47</v>
      </c>
      <c r="E674" s="3" t="s">
        <v>58</v>
      </c>
      <c r="F674" s="3" t="s">
        <v>59</v>
      </c>
      <c r="G674" s="3">
        <v>30</v>
      </c>
      <c r="H674" s="4">
        <v>3723</v>
      </c>
      <c r="I674" s="4">
        <v>4300</v>
      </c>
      <c r="J674" s="3" t="s">
        <v>22</v>
      </c>
      <c r="K674" s="3" t="s">
        <v>36</v>
      </c>
      <c r="L674">
        <f t="shared" si="63"/>
        <v>2026</v>
      </c>
      <c r="M674">
        <f t="shared" si="60"/>
        <v>6</v>
      </c>
      <c r="N674" t="str">
        <f t="shared" si="61"/>
        <v>Jun</v>
      </c>
      <c r="O674" t="str">
        <f t="shared" si="62"/>
        <v>2026-06</v>
      </c>
      <c r="P674" t="str">
        <f t="shared" si="64"/>
        <v>2026-W25</v>
      </c>
      <c r="Q674" t="str">
        <f t="shared" si="65"/>
        <v>Sun</v>
      </c>
    </row>
    <row r="675" spans="1:17" x14ac:dyDescent="0.3">
      <c r="A675" s="2">
        <v>46195</v>
      </c>
      <c r="B675" s="3" t="s">
        <v>721</v>
      </c>
      <c r="C675" s="3" t="s">
        <v>43</v>
      </c>
      <c r="D675" s="3" t="s">
        <v>26</v>
      </c>
      <c r="E675" s="3" t="s">
        <v>58</v>
      </c>
      <c r="F675" s="3" t="s">
        <v>59</v>
      </c>
      <c r="G675" s="3">
        <v>96</v>
      </c>
      <c r="H675" s="4">
        <v>10770</v>
      </c>
      <c r="I675" s="4">
        <v>11300</v>
      </c>
      <c r="J675" s="3" t="s">
        <v>22</v>
      </c>
      <c r="K675" s="3" t="s">
        <v>36</v>
      </c>
      <c r="L675">
        <f t="shared" si="63"/>
        <v>2026</v>
      </c>
      <c r="M675">
        <f t="shared" si="60"/>
        <v>6</v>
      </c>
      <c r="N675" t="str">
        <f t="shared" si="61"/>
        <v>Jun</v>
      </c>
      <c r="O675" t="str">
        <f t="shared" si="62"/>
        <v>2026-06</v>
      </c>
      <c r="P675" t="str">
        <f t="shared" si="64"/>
        <v>2026-W26</v>
      </c>
      <c r="Q675" t="str">
        <f t="shared" si="65"/>
        <v>Mon</v>
      </c>
    </row>
    <row r="676" spans="1:17" x14ac:dyDescent="0.3">
      <c r="A676" s="2">
        <v>46195</v>
      </c>
      <c r="B676" s="3" t="s">
        <v>722</v>
      </c>
      <c r="C676" s="3" t="s">
        <v>43</v>
      </c>
      <c r="D676" s="3" t="s">
        <v>19</v>
      </c>
      <c r="E676" s="3" t="s">
        <v>27</v>
      </c>
      <c r="F676" s="3" t="s">
        <v>15</v>
      </c>
      <c r="G676" s="3">
        <v>38</v>
      </c>
      <c r="H676" s="4">
        <v>2447</v>
      </c>
      <c r="I676" s="4">
        <v>2200</v>
      </c>
      <c r="J676" s="3" t="s">
        <v>16</v>
      </c>
      <c r="K676" s="3" t="s">
        <v>23</v>
      </c>
      <c r="L676">
        <f t="shared" si="63"/>
        <v>2026</v>
      </c>
      <c r="M676">
        <f t="shared" si="60"/>
        <v>6</v>
      </c>
      <c r="N676" t="str">
        <f t="shared" si="61"/>
        <v>Jun</v>
      </c>
      <c r="O676" t="str">
        <f t="shared" si="62"/>
        <v>2026-06</v>
      </c>
      <c r="P676" t="str">
        <f t="shared" si="64"/>
        <v>2026-W26</v>
      </c>
      <c r="Q676" t="str">
        <f t="shared" si="65"/>
        <v>Mon</v>
      </c>
    </row>
    <row r="677" spans="1:17" x14ac:dyDescent="0.3">
      <c r="A677" s="2">
        <v>46196</v>
      </c>
      <c r="B677" s="3" t="s">
        <v>723</v>
      </c>
      <c r="C677" s="3" t="s">
        <v>32</v>
      </c>
      <c r="D677" s="3" t="s">
        <v>19</v>
      </c>
      <c r="E677" s="3" t="s">
        <v>20</v>
      </c>
      <c r="F677" s="3" t="s">
        <v>21</v>
      </c>
      <c r="G677" s="3">
        <v>32</v>
      </c>
      <c r="H677" s="4">
        <v>1574</v>
      </c>
      <c r="I677" s="4">
        <v>1300</v>
      </c>
      <c r="J677" s="3" t="s">
        <v>22</v>
      </c>
      <c r="K677" s="3" t="s">
        <v>23</v>
      </c>
      <c r="L677">
        <f t="shared" si="63"/>
        <v>2026</v>
      </c>
      <c r="M677">
        <f t="shared" si="60"/>
        <v>6</v>
      </c>
      <c r="N677" t="str">
        <f t="shared" si="61"/>
        <v>Jun</v>
      </c>
      <c r="O677" t="str">
        <f t="shared" si="62"/>
        <v>2026-06</v>
      </c>
      <c r="P677" t="str">
        <f t="shared" si="64"/>
        <v>2026-W26</v>
      </c>
      <c r="Q677" t="str">
        <f t="shared" si="65"/>
        <v>Tue</v>
      </c>
    </row>
    <row r="678" spans="1:17" x14ac:dyDescent="0.3">
      <c r="A678" s="2">
        <v>46196</v>
      </c>
      <c r="B678" s="3" t="s">
        <v>724</v>
      </c>
      <c r="C678" s="3" t="s">
        <v>50</v>
      </c>
      <c r="D678" s="3" t="s">
        <v>19</v>
      </c>
      <c r="E678" s="3" t="s">
        <v>20</v>
      </c>
      <c r="F678" s="3" t="s">
        <v>21</v>
      </c>
      <c r="G678" s="3">
        <v>15</v>
      </c>
      <c r="H678" s="4">
        <v>556</v>
      </c>
      <c r="I678" s="4">
        <v>700</v>
      </c>
      <c r="J678" s="3" t="s">
        <v>22</v>
      </c>
      <c r="K678" s="3" t="s">
        <v>30</v>
      </c>
      <c r="L678">
        <f t="shared" si="63"/>
        <v>2026</v>
      </c>
      <c r="M678">
        <f t="shared" si="60"/>
        <v>6</v>
      </c>
      <c r="N678" t="str">
        <f t="shared" si="61"/>
        <v>Jun</v>
      </c>
      <c r="O678" t="str">
        <f t="shared" si="62"/>
        <v>2026-06</v>
      </c>
      <c r="P678" t="str">
        <f t="shared" si="64"/>
        <v>2026-W26</v>
      </c>
      <c r="Q678" t="str">
        <f t="shared" si="65"/>
        <v>Tue</v>
      </c>
    </row>
    <row r="679" spans="1:17" x14ac:dyDescent="0.3">
      <c r="A679" s="2">
        <v>46196</v>
      </c>
      <c r="B679" s="3" t="s">
        <v>725</v>
      </c>
      <c r="C679" s="3" t="s">
        <v>25</v>
      </c>
      <c r="D679" s="3" t="s">
        <v>26</v>
      </c>
      <c r="E679" s="3" t="s">
        <v>123</v>
      </c>
      <c r="F679" s="3" t="s">
        <v>59</v>
      </c>
      <c r="G679" s="3">
        <v>108</v>
      </c>
      <c r="H679" s="4">
        <v>13425</v>
      </c>
      <c r="I679" s="4">
        <v>11800</v>
      </c>
      <c r="J679" s="3" t="s">
        <v>22</v>
      </c>
      <c r="K679" s="3" t="s">
        <v>36</v>
      </c>
      <c r="L679">
        <f t="shared" si="63"/>
        <v>2026</v>
      </c>
      <c r="M679">
        <f t="shared" si="60"/>
        <v>6</v>
      </c>
      <c r="N679" t="str">
        <f t="shared" si="61"/>
        <v>Jun</v>
      </c>
      <c r="O679" t="str">
        <f t="shared" si="62"/>
        <v>2026-06</v>
      </c>
      <c r="P679" t="str">
        <f t="shared" si="64"/>
        <v>2026-W26</v>
      </c>
      <c r="Q679" t="str">
        <f t="shared" si="65"/>
        <v>Tue</v>
      </c>
    </row>
    <row r="680" spans="1:17" x14ac:dyDescent="0.3">
      <c r="A680" s="2">
        <v>46196</v>
      </c>
      <c r="B680" s="3" t="s">
        <v>726</v>
      </c>
      <c r="C680" s="3" t="s">
        <v>12</v>
      </c>
      <c r="D680" s="3" t="s">
        <v>53</v>
      </c>
      <c r="E680" s="3" t="s">
        <v>14</v>
      </c>
      <c r="F680" s="3" t="s">
        <v>15</v>
      </c>
      <c r="G680" s="3">
        <v>107</v>
      </c>
      <c r="H680" s="4">
        <v>5596</v>
      </c>
      <c r="I680" s="4">
        <v>6800</v>
      </c>
      <c r="J680" s="3" t="s">
        <v>22</v>
      </c>
      <c r="K680" s="3" t="s">
        <v>30</v>
      </c>
      <c r="L680">
        <f t="shared" si="63"/>
        <v>2026</v>
      </c>
      <c r="M680">
        <f t="shared" si="60"/>
        <v>6</v>
      </c>
      <c r="N680" t="str">
        <f t="shared" si="61"/>
        <v>Jun</v>
      </c>
      <c r="O680" t="str">
        <f t="shared" si="62"/>
        <v>2026-06</v>
      </c>
      <c r="P680" t="str">
        <f t="shared" si="64"/>
        <v>2026-W26</v>
      </c>
      <c r="Q680" t="str">
        <f t="shared" si="65"/>
        <v>Tue</v>
      </c>
    </row>
    <row r="681" spans="1:17" x14ac:dyDescent="0.3">
      <c r="A681" s="2">
        <v>46197</v>
      </c>
      <c r="B681" s="3" t="s">
        <v>727</v>
      </c>
      <c r="C681" s="3" t="s">
        <v>57</v>
      </c>
      <c r="D681" s="3" t="s">
        <v>19</v>
      </c>
      <c r="E681" s="3" t="s">
        <v>41</v>
      </c>
      <c r="F681" s="3" t="s">
        <v>21</v>
      </c>
      <c r="G681" s="3">
        <v>78</v>
      </c>
      <c r="H681" s="4">
        <v>3664</v>
      </c>
      <c r="I681" s="4">
        <v>4200</v>
      </c>
      <c r="J681" s="3" t="s">
        <v>22</v>
      </c>
      <c r="K681" s="3" t="s">
        <v>30</v>
      </c>
      <c r="L681">
        <f t="shared" si="63"/>
        <v>2026</v>
      </c>
      <c r="M681">
        <f t="shared" si="60"/>
        <v>6</v>
      </c>
      <c r="N681" t="str">
        <f t="shared" si="61"/>
        <v>Jun</v>
      </c>
      <c r="O681" t="str">
        <f t="shared" si="62"/>
        <v>2026-06</v>
      </c>
      <c r="P681" t="str">
        <f t="shared" si="64"/>
        <v>2026-W26</v>
      </c>
      <c r="Q681" t="str">
        <f t="shared" si="65"/>
        <v>Wed</v>
      </c>
    </row>
    <row r="682" spans="1:17" x14ac:dyDescent="0.3">
      <c r="A682" s="2">
        <v>46197</v>
      </c>
      <c r="B682" s="3" t="s">
        <v>728</v>
      </c>
      <c r="C682" s="3" t="s">
        <v>43</v>
      </c>
      <c r="D682" s="3" t="s">
        <v>19</v>
      </c>
      <c r="E682" s="3" t="s">
        <v>68</v>
      </c>
      <c r="F682" s="3" t="s">
        <v>34</v>
      </c>
      <c r="G682" s="3">
        <v>104</v>
      </c>
      <c r="H682" s="4">
        <v>8111</v>
      </c>
      <c r="I682" s="4">
        <v>7300</v>
      </c>
      <c r="J682" s="3" t="s">
        <v>22</v>
      </c>
      <c r="K682" s="3" t="s">
        <v>30</v>
      </c>
      <c r="L682">
        <f t="shared" si="63"/>
        <v>2026</v>
      </c>
      <c r="M682">
        <f t="shared" si="60"/>
        <v>6</v>
      </c>
      <c r="N682" t="str">
        <f t="shared" si="61"/>
        <v>Jun</v>
      </c>
      <c r="O682" t="str">
        <f t="shared" si="62"/>
        <v>2026-06</v>
      </c>
      <c r="P682" t="str">
        <f t="shared" si="64"/>
        <v>2026-W26</v>
      </c>
      <c r="Q682" t="str">
        <f t="shared" si="65"/>
        <v>Wed</v>
      </c>
    </row>
    <row r="683" spans="1:17" x14ac:dyDescent="0.3">
      <c r="A683" s="2">
        <v>46197</v>
      </c>
      <c r="B683" s="3" t="s">
        <v>729</v>
      </c>
      <c r="C683" s="3" t="s">
        <v>25</v>
      </c>
      <c r="D683" s="3" t="s">
        <v>47</v>
      </c>
      <c r="E683" s="3" t="s">
        <v>68</v>
      </c>
      <c r="F683" s="3" t="s">
        <v>34</v>
      </c>
      <c r="G683" s="3">
        <v>72</v>
      </c>
      <c r="H683" s="4">
        <v>5705</v>
      </c>
      <c r="I683" s="4">
        <v>7000</v>
      </c>
      <c r="J683" s="3" t="s">
        <v>22</v>
      </c>
      <c r="K683" s="3" t="s">
        <v>36</v>
      </c>
      <c r="L683">
        <f t="shared" si="63"/>
        <v>2026</v>
      </c>
      <c r="M683">
        <f t="shared" si="60"/>
        <v>6</v>
      </c>
      <c r="N683" t="str">
        <f t="shared" si="61"/>
        <v>Jun</v>
      </c>
      <c r="O683" t="str">
        <f t="shared" si="62"/>
        <v>2026-06</v>
      </c>
      <c r="P683" t="str">
        <f t="shared" si="64"/>
        <v>2026-W26</v>
      </c>
      <c r="Q683" t="str">
        <f t="shared" si="65"/>
        <v>Wed</v>
      </c>
    </row>
    <row r="684" spans="1:17" x14ac:dyDescent="0.3">
      <c r="A684" s="2">
        <v>46198</v>
      </c>
      <c r="B684" s="3" t="s">
        <v>730</v>
      </c>
      <c r="C684" s="3" t="s">
        <v>32</v>
      </c>
      <c r="D684" s="3" t="s">
        <v>53</v>
      </c>
      <c r="E684" s="3" t="s">
        <v>41</v>
      </c>
      <c r="F684" s="3" t="s">
        <v>21</v>
      </c>
      <c r="G684" s="3">
        <v>66</v>
      </c>
      <c r="H684" s="4">
        <v>3044</v>
      </c>
      <c r="I684" s="4">
        <v>3800</v>
      </c>
      <c r="J684" s="3" t="s">
        <v>22</v>
      </c>
      <c r="K684" s="3" t="s">
        <v>36</v>
      </c>
      <c r="L684">
        <f t="shared" si="63"/>
        <v>2026</v>
      </c>
      <c r="M684">
        <f t="shared" si="60"/>
        <v>6</v>
      </c>
      <c r="N684" t="str">
        <f t="shared" si="61"/>
        <v>Jun</v>
      </c>
      <c r="O684" t="str">
        <f t="shared" si="62"/>
        <v>2026-06</v>
      </c>
      <c r="P684" t="str">
        <f t="shared" si="64"/>
        <v>2026-W26</v>
      </c>
      <c r="Q684" t="str">
        <f t="shared" si="65"/>
        <v>Thu</v>
      </c>
    </row>
    <row r="685" spans="1:17" x14ac:dyDescent="0.3">
      <c r="A685" s="2">
        <v>46198</v>
      </c>
      <c r="B685" s="3" t="s">
        <v>731</v>
      </c>
      <c r="C685" s="3" t="s">
        <v>43</v>
      </c>
      <c r="D685" s="3" t="s">
        <v>19</v>
      </c>
      <c r="E685" s="3" t="s">
        <v>44</v>
      </c>
      <c r="F685" s="3" t="s">
        <v>34</v>
      </c>
      <c r="G685" s="3">
        <v>79</v>
      </c>
      <c r="H685" s="4">
        <v>4937</v>
      </c>
      <c r="I685" s="4">
        <v>5700</v>
      </c>
      <c r="J685" s="3" t="s">
        <v>22</v>
      </c>
      <c r="K685" s="3" t="s">
        <v>36</v>
      </c>
      <c r="L685">
        <f t="shared" si="63"/>
        <v>2026</v>
      </c>
      <c r="M685">
        <f t="shared" si="60"/>
        <v>6</v>
      </c>
      <c r="N685" t="str">
        <f t="shared" si="61"/>
        <v>Jun</v>
      </c>
      <c r="O685" t="str">
        <f t="shared" si="62"/>
        <v>2026-06</v>
      </c>
      <c r="P685" t="str">
        <f t="shared" si="64"/>
        <v>2026-W26</v>
      </c>
      <c r="Q685" t="str">
        <f t="shared" si="65"/>
        <v>Thu</v>
      </c>
    </row>
    <row r="686" spans="1:17" x14ac:dyDescent="0.3">
      <c r="A686" s="2">
        <v>46199</v>
      </c>
      <c r="B686" s="3" t="s">
        <v>732</v>
      </c>
      <c r="C686" s="3" t="s">
        <v>50</v>
      </c>
      <c r="D686" s="3" t="s">
        <v>19</v>
      </c>
      <c r="E686" s="3" t="s">
        <v>20</v>
      </c>
      <c r="F686" s="3" t="s">
        <v>21</v>
      </c>
      <c r="G686" s="3">
        <v>27</v>
      </c>
      <c r="H686" s="4">
        <v>1243</v>
      </c>
      <c r="I686" s="4">
        <v>1200</v>
      </c>
      <c r="J686" s="3" t="s">
        <v>22</v>
      </c>
      <c r="K686" s="3" t="s">
        <v>36</v>
      </c>
      <c r="L686">
        <f t="shared" si="63"/>
        <v>2026</v>
      </c>
      <c r="M686">
        <f t="shared" si="60"/>
        <v>6</v>
      </c>
      <c r="N686" t="str">
        <f t="shared" si="61"/>
        <v>Jun</v>
      </c>
      <c r="O686" t="str">
        <f t="shared" si="62"/>
        <v>2026-06</v>
      </c>
      <c r="P686" t="str">
        <f t="shared" si="64"/>
        <v>2026-W26</v>
      </c>
      <c r="Q686" t="str">
        <f t="shared" si="65"/>
        <v>Fri</v>
      </c>
    </row>
    <row r="687" spans="1:17" x14ac:dyDescent="0.3">
      <c r="A687" s="2">
        <v>46199</v>
      </c>
      <c r="B687" s="3" t="s">
        <v>733</v>
      </c>
      <c r="C687" s="3" t="s">
        <v>12</v>
      </c>
      <c r="D687" s="3" t="s">
        <v>53</v>
      </c>
      <c r="E687" s="3" t="s">
        <v>20</v>
      </c>
      <c r="F687" s="3" t="s">
        <v>21</v>
      </c>
      <c r="G687" s="3">
        <v>14</v>
      </c>
      <c r="H687" s="4">
        <v>576</v>
      </c>
      <c r="I687" s="4">
        <v>500</v>
      </c>
      <c r="J687" s="3" t="s">
        <v>22</v>
      </c>
      <c r="K687" s="3" t="s">
        <v>30</v>
      </c>
      <c r="L687">
        <f t="shared" si="63"/>
        <v>2026</v>
      </c>
      <c r="M687">
        <f t="shared" si="60"/>
        <v>6</v>
      </c>
      <c r="N687" t="str">
        <f t="shared" si="61"/>
        <v>Jun</v>
      </c>
      <c r="O687" t="str">
        <f t="shared" si="62"/>
        <v>2026-06</v>
      </c>
      <c r="P687" t="str">
        <f t="shared" si="64"/>
        <v>2026-W26</v>
      </c>
      <c r="Q687" t="str">
        <f t="shared" si="65"/>
        <v>Fri</v>
      </c>
    </row>
    <row r="688" spans="1:17" x14ac:dyDescent="0.3">
      <c r="A688" s="2">
        <v>46199</v>
      </c>
      <c r="B688" s="3" t="s">
        <v>734</v>
      </c>
      <c r="C688" s="3" t="s">
        <v>57</v>
      </c>
      <c r="D688" s="3" t="s">
        <v>53</v>
      </c>
      <c r="E688" s="3" t="s">
        <v>61</v>
      </c>
      <c r="F688" s="3" t="s">
        <v>59</v>
      </c>
      <c r="G688" s="3">
        <v>28</v>
      </c>
      <c r="H688" s="4">
        <v>2834</v>
      </c>
      <c r="I688" s="4">
        <v>2300</v>
      </c>
      <c r="J688" s="3" t="s">
        <v>22</v>
      </c>
      <c r="K688" s="3" t="s">
        <v>30</v>
      </c>
      <c r="L688">
        <f t="shared" si="63"/>
        <v>2026</v>
      </c>
      <c r="M688">
        <f t="shared" si="60"/>
        <v>6</v>
      </c>
      <c r="N688" t="str">
        <f t="shared" si="61"/>
        <v>Jun</v>
      </c>
      <c r="O688" t="str">
        <f t="shared" si="62"/>
        <v>2026-06</v>
      </c>
      <c r="P688" t="str">
        <f t="shared" si="64"/>
        <v>2026-W26</v>
      </c>
      <c r="Q688" t="str">
        <f t="shared" si="65"/>
        <v>Fri</v>
      </c>
    </row>
    <row r="689" spans="1:17" x14ac:dyDescent="0.3">
      <c r="A689" s="2">
        <v>46199</v>
      </c>
      <c r="B689" s="3" t="s">
        <v>735</v>
      </c>
      <c r="C689" s="3" t="s">
        <v>91</v>
      </c>
      <c r="D689" s="3" t="s">
        <v>26</v>
      </c>
      <c r="E689" s="3" t="s">
        <v>48</v>
      </c>
      <c r="F689" s="3" t="s">
        <v>15</v>
      </c>
      <c r="G689" s="3">
        <v>62</v>
      </c>
      <c r="H689" s="4">
        <v>4163</v>
      </c>
      <c r="I689" s="4">
        <v>3400</v>
      </c>
      <c r="J689" s="3" t="s">
        <v>22</v>
      </c>
      <c r="K689" s="3" t="s">
        <v>30</v>
      </c>
      <c r="L689">
        <f t="shared" si="63"/>
        <v>2026</v>
      </c>
      <c r="M689">
        <f t="shared" si="60"/>
        <v>6</v>
      </c>
      <c r="N689" t="str">
        <f t="shared" si="61"/>
        <v>Jun</v>
      </c>
      <c r="O689" t="str">
        <f t="shared" si="62"/>
        <v>2026-06</v>
      </c>
      <c r="P689" t="str">
        <f t="shared" si="64"/>
        <v>2026-W26</v>
      </c>
      <c r="Q689" t="str">
        <f t="shared" si="65"/>
        <v>Fri</v>
      </c>
    </row>
    <row r="690" spans="1:17" x14ac:dyDescent="0.3">
      <c r="A690" s="2">
        <v>46201</v>
      </c>
      <c r="B690" s="3" t="s">
        <v>736</v>
      </c>
      <c r="C690" s="3" t="s">
        <v>43</v>
      </c>
      <c r="D690" s="3" t="s">
        <v>65</v>
      </c>
      <c r="E690" s="3" t="s">
        <v>27</v>
      </c>
      <c r="F690" s="3" t="s">
        <v>15</v>
      </c>
      <c r="G690" s="3">
        <v>40</v>
      </c>
      <c r="H690" s="4">
        <v>2054</v>
      </c>
      <c r="I690" s="4">
        <v>2200</v>
      </c>
      <c r="J690" s="3" t="s">
        <v>39</v>
      </c>
      <c r="K690" s="3" t="s">
        <v>30</v>
      </c>
      <c r="L690">
        <f t="shared" si="63"/>
        <v>2026</v>
      </c>
      <c r="M690">
        <f t="shared" si="60"/>
        <v>6</v>
      </c>
      <c r="N690" t="str">
        <f t="shared" si="61"/>
        <v>Jun</v>
      </c>
      <c r="O690" t="str">
        <f t="shared" si="62"/>
        <v>2026-06</v>
      </c>
      <c r="P690" t="str">
        <f t="shared" si="64"/>
        <v>2026-W26</v>
      </c>
      <c r="Q690" t="str">
        <f t="shared" si="65"/>
        <v>Sun</v>
      </c>
    </row>
    <row r="691" spans="1:17" x14ac:dyDescent="0.3">
      <c r="A691" s="2">
        <v>46202</v>
      </c>
      <c r="B691" s="3" t="s">
        <v>737</v>
      </c>
      <c r="C691" s="3" t="s">
        <v>43</v>
      </c>
      <c r="D691" s="3" t="s">
        <v>53</v>
      </c>
      <c r="E691" s="3" t="s">
        <v>29</v>
      </c>
      <c r="F691" s="3" t="s">
        <v>21</v>
      </c>
      <c r="G691" s="3">
        <v>101</v>
      </c>
      <c r="H691" s="4">
        <v>4136</v>
      </c>
      <c r="I691" s="4">
        <v>4600</v>
      </c>
      <c r="J691" s="3" t="s">
        <v>22</v>
      </c>
      <c r="K691" s="3" t="s">
        <v>30</v>
      </c>
      <c r="L691">
        <f t="shared" si="63"/>
        <v>2026</v>
      </c>
      <c r="M691">
        <f t="shared" si="60"/>
        <v>6</v>
      </c>
      <c r="N691" t="str">
        <f t="shared" si="61"/>
        <v>Jun</v>
      </c>
      <c r="O691" t="str">
        <f t="shared" si="62"/>
        <v>2026-06</v>
      </c>
      <c r="P691" t="str">
        <f t="shared" si="64"/>
        <v>2026-W27</v>
      </c>
      <c r="Q691" t="str">
        <f t="shared" si="65"/>
        <v>Mon</v>
      </c>
    </row>
    <row r="692" spans="1:17" x14ac:dyDescent="0.3">
      <c r="A692" s="2">
        <v>46202</v>
      </c>
      <c r="B692" s="3" t="s">
        <v>738</v>
      </c>
      <c r="C692" s="3" t="s">
        <v>43</v>
      </c>
      <c r="D692" s="3" t="s">
        <v>26</v>
      </c>
      <c r="E692" s="3" t="s">
        <v>14</v>
      </c>
      <c r="F692" s="3" t="s">
        <v>15</v>
      </c>
      <c r="G692" s="3">
        <v>95</v>
      </c>
      <c r="H692" s="4">
        <v>6644</v>
      </c>
      <c r="I692" s="4">
        <v>7100</v>
      </c>
      <c r="J692" s="3" t="s">
        <v>22</v>
      </c>
      <c r="K692" s="3" t="s">
        <v>36</v>
      </c>
      <c r="L692">
        <f t="shared" si="63"/>
        <v>2026</v>
      </c>
      <c r="M692">
        <f t="shared" si="60"/>
        <v>6</v>
      </c>
      <c r="N692" t="str">
        <f t="shared" si="61"/>
        <v>Jun</v>
      </c>
      <c r="O692" t="str">
        <f t="shared" si="62"/>
        <v>2026-06</v>
      </c>
      <c r="P692" t="str">
        <f t="shared" si="64"/>
        <v>2026-W27</v>
      </c>
      <c r="Q692" t="str">
        <f t="shared" si="65"/>
        <v>Mon</v>
      </c>
    </row>
    <row r="693" spans="1:17" x14ac:dyDescent="0.3">
      <c r="A693" s="2">
        <v>46203</v>
      </c>
      <c r="B693" s="3" t="s">
        <v>739</v>
      </c>
      <c r="C693" s="3" t="s">
        <v>38</v>
      </c>
      <c r="D693" s="3" t="s">
        <v>26</v>
      </c>
      <c r="E693" s="3" t="s">
        <v>41</v>
      </c>
      <c r="F693" s="3" t="s">
        <v>21</v>
      </c>
      <c r="G693" s="3">
        <v>87</v>
      </c>
      <c r="H693" s="4">
        <v>3414</v>
      </c>
      <c r="I693" s="4">
        <v>3200</v>
      </c>
      <c r="J693" s="3" t="s">
        <v>22</v>
      </c>
      <c r="K693" s="3" t="s">
        <v>30</v>
      </c>
      <c r="L693">
        <f t="shared" si="63"/>
        <v>2026</v>
      </c>
      <c r="M693">
        <f t="shared" si="60"/>
        <v>6</v>
      </c>
      <c r="N693" t="str">
        <f t="shared" si="61"/>
        <v>Jun</v>
      </c>
      <c r="O693" t="str">
        <f t="shared" si="62"/>
        <v>2026-06</v>
      </c>
      <c r="P693" t="str">
        <f t="shared" si="64"/>
        <v>2026-W27</v>
      </c>
      <c r="Q693" t="str">
        <f t="shared" si="65"/>
        <v>Tue</v>
      </c>
    </row>
    <row r="694" spans="1:17" x14ac:dyDescent="0.3">
      <c r="A694" s="2">
        <v>46203</v>
      </c>
      <c r="B694" s="3" t="s">
        <v>740</v>
      </c>
      <c r="C694" s="3" t="s">
        <v>43</v>
      </c>
      <c r="D694" s="3" t="s">
        <v>19</v>
      </c>
      <c r="E694" s="3" t="s">
        <v>48</v>
      </c>
      <c r="F694" s="3" t="s">
        <v>15</v>
      </c>
      <c r="G694" s="3">
        <v>18</v>
      </c>
      <c r="H694" s="4">
        <v>926</v>
      </c>
      <c r="I694" s="4">
        <v>800</v>
      </c>
      <c r="J694" s="3" t="s">
        <v>22</v>
      </c>
      <c r="K694" s="3" t="s">
        <v>36</v>
      </c>
      <c r="L694">
        <f t="shared" si="63"/>
        <v>2026</v>
      </c>
      <c r="M694">
        <f t="shared" si="60"/>
        <v>6</v>
      </c>
      <c r="N694" t="str">
        <f t="shared" si="61"/>
        <v>Jun</v>
      </c>
      <c r="O694" t="str">
        <f t="shared" si="62"/>
        <v>2026-06</v>
      </c>
      <c r="P694" t="str">
        <f t="shared" si="64"/>
        <v>2026-W27</v>
      </c>
      <c r="Q694" t="str">
        <f t="shared" si="65"/>
        <v>Tue</v>
      </c>
    </row>
    <row r="695" spans="1:17" x14ac:dyDescent="0.3">
      <c r="A695" s="2">
        <v>46204</v>
      </c>
      <c r="B695" s="3" t="s">
        <v>741</v>
      </c>
      <c r="C695" s="3" t="s">
        <v>91</v>
      </c>
      <c r="D695" s="3" t="s">
        <v>13</v>
      </c>
      <c r="E695" s="3" t="s">
        <v>33</v>
      </c>
      <c r="F695" s="3" t="s">
        <v>34</v>
      </c>
      <c r="G695" s="3">
        <v>99</v>
      </c>
      <c r="H695" s="4">
        <v>7354</v>
      </c>
      <c r="I695" s="4">
        <v>8900</v>
      </c>
      <c r="J695" s="3" t="s">
        <v>22</v>
      </c>
      <c r="K695" s="3" t="s">
        <v>30</v>
      </c>
      <c r="L695">
        <f t="shared" si="63"/>
        <v>2026</v>
      </c>
      <c r="M695">
        <f t="shared" si="60"/>
        <v>7</v>
      </c>
      <c r="N695" t="str">
        <f t="shared" si="61"/>
        <v>Jul</v>
      </c>
      <c r="O695" t="str">
        <f t="shared" si="62"/>
        <v>2026-07</v>
      </c>
      <c r="P695" t="str">
        <f t="shared" si="64"/>
        <v>2026-W27</v>
      </c>
      <c r="Q695" t="str">
        <f t="shared" si="65"/>
        <v>Wed</v>
      </c>
    </row>
    <row r="696" spans="1:17" x14ac:dyDescent="0.3">
      <c r="A696" s="2">
        <v>46204</v>
      </c>
      <c r="B696" s="3" t="s">
        <v>742</v>
      </c>
      <c r="C696" s="3" t="s">
        <v>32</v>
      </c>
      <c r="D696" s="3" t="s">
        <v>47</v>
      </c>
      <c r="E696" s="3" t="s">
        <v>33</v>
      </c>
      <c r="F696" s="3" t="s">
        <v>34</v>
      </c>
      <c r="G696" s="3">
        <v>21</v>
      </c>
      <c r="H696" s="4">
        <v>1323</v>
      </c>
      <c r="I696" s="4">
        <v>1400</v>
      </c>
      <c r="J696" s="3" t="s">
        <v>16</v>
      </c>
      <c r="K696" s="3" t="s">
        <v>23</v>
      </c>
      <c r="L696">
        <f t="shared" si="63"/>
        <v>2026</v>
      </c>
      <c r="M696">
        <f t="shared" si="60"/>
        <v>7</v>
      </c>
      <c r="N696" t="str">
        <f t="shared" si="61"/>
        <v>Jul</v>
      </c>
      <c r="O696" t="str">
        <f t="shared" si="62"/>
        <v>2026-07</v>
      </c>
      <c r="P696" t="str">
        <f t="shared" si="64"/>
        <v>2026-W27</v>
      </c>
      <c r="Q696" t="str">
        <f t="shared" si="65"/>
        <v>Wed</v>
      </c>
    </row>
    <row r="697" spans="1:17" x14ac:dyDescent="0.3">
      <c r="A697" s="2">
        <v>46204</v>
      </c>
      <c r="B697" s="3" t="s">
        <v>743</v>
      </c>
      <c r="C697" s="3" t="s">
        <v>43</v>
      </c>
      <c r="D697" s="3" t="s">
        <v>65</v>
      </c>
      <c r="E697" s="3" t="s">
        <v>48</v>
      </c>
      <c r="F697" s="3" t="s">
        <v>15</v>
      </c>
      <c r="G697" s="3">
        <v>54</v>
      </c>
      <c r="H697" s="4">
        <v>2965</v>
      </c>
      <c r="I697" s="4">
        <v>3700</v>
      </c>
      <c r="J697" s="3" t="s">
        <v>22</v>
      </c>
      <c r="K697" s="3" t="s">
        <v>30</v>
      </c>
      <c r="L697">
        <f t="shared" si="63"/>
        <v>2026</v>
      </c>
      <c r="M697">
        <f t="shared" si="60"/>
        <v>7</v>
      </c>
      <c r="N697" t="str">
        <f t="shared" si="61"/>
        <v>Jul</v>
      </c>
      <c r="O697" t="str">
        <f t="shared" si="62"/>
        <v>2026-07</v>
      </c>
      <c r="P697" t="str">
        <f t="shared" si="64"/>
        <v>2026-W27</v>
      </c>
      <c r="Q697" t="str">
        <f t="shared" si="65"/>
        <v>Wed</v>
      </c>
    </row>
    <row r="698" spans="1:17" x14ac:dyDescent="0.3">
      <c r="A698" s="2">
        <v>46204</v>
      </c>
      <c r="B698" s="3" t="s">
        <v>744</v>
      </c>
      <c r="C698" s="3" t="s">
        <v>91</v>
      </c>
      <c r="D698" s="3" t="s">
        <v>65</v>
      </c>
      <c r="E698" s="3" t="s">
        <v>20</v>
      </c>
      <c r="F698" s="3" t="s">
        <v>21</v>
      </c>
      <c r="G698" s="3">
        <v>107</v>
      </c>
      <c r="H698" s="4">
        <v>5347</v>
      </c>
      <c r="I698" s="4">
        <v>6100</v>
      </c>
      <c r="J698" s="3" t="s">
        <v>39</v>
      </c>
      <c r="K698" s="3" t="s">
        <v>36</v>
      </c>
      <c r="L698">
        <f t="shared" si="63"/>
        <v>2026</v>
      </c>
      <c r="M698">
        <f t="shared" si="60"/>
        <v>7</v>
      </c>
      <c r="N698" t="str">
        <f t="shared" si="61"/>
        <v>Jul</v>
      </c>
      <c r="O698" t="str">
        <f t="shared" si="62"/>
        <v>2026-07</v>
      </c>
      <c r="P698" t="str">
        <f t="shared" si="64"/>
        <v>2026-W27</v>
      </c>
      <c r="Q698" t="str">
        <f t="shared" si="65"/>
        <v>Wed</v>
      </c>
    </row>
    <row r="699" spans="1:17" x14ac:dyDescent="0.3">
      <c r="A699" s="2">
        <v>46204</v>
      </c>
      <c r="B699" s="3" t="s">
        <v>745</v>
      </c>
      <c r="C699" s="3" t="s">
        <v>38</v>
      </c>
      <c r="D699" s="3" t="s">
        <v>26</v>
      </c>
      <c r="E699" s="3" t="s">
        <v>68</v>
      </c>
      <c r="F699" s="3" t="s">
        <v>34</v>
      </c>
      <c r="G699" s="3">
        <v>84</v>
      </c>
      <c r="H699" s="4">
        <v>5723</v>
      </c>
      <c r="I699" s="4">
        <v>5600</v>
      </c>
      <c r="J699" s="3" t="s">
        <v>22</v>
      </c>
      <c r="K699" s="3" t="s">
        <v>30</v>
      </c>
      <c r="L699">
        <f t="shared" si="63"/>
        <v>2026</v>
      </c>
      <c r="M699">
        <f t="shared" si="60"/>
        <v>7</v>
      </c>
      <c r="N699" t="str">
        <f t="shared" si="61"/>
        <v>Jul</v>
      </c>
      <c r="O699" t="str">
        <f t="shared" si="62"/>
        <v>2026-07</v>
      </c>
      <c r="P699" t="str">
        <f t="shared" si="64"/>
        <v>2026-W27</v>
      </c>
      <c r="Q699" t="str">
        <f t="shared" si="65"/>
        <v>Wed</v>
      </c>
    </row>
    <row r="700" spans="1:17" x14ac:dyDescent="0.3">
      <c r="A700" s="2">
        <v>46205</v>
      </c>
      <c r="B700" s="3" t="s">
        <v>746</v>
      </c>
      <c r="C700" s="3" t="s">
        <v>32</v>
      </c>
      <c r="D700" s="3" t="s">
        <v>47</v>
      </c>
      <c r="E700" s="3" t="s">
        <v>20</v>
      </c>
      <c r="F700" s="3" t="s">
        <v>21</v>
      </c>
      <c r="G700" s="3">
        <v>114</v>
      </c>
      <c r="H700" s="4">
        <v>4940</v>
      </c>
      <c r="I700" s="4">
        <v>5600</v>
      </c>
      <c r="J700" s="3" t="s">
        <v>22</v>
      </c>
      <c r="K700" s="3" t="s">
        <v>30</v>
      </c>
      <c r="L700">
        <f t="shared" si="63"/>
        <v>2026</v>
      </c>
      <c r="M700">
        <f t="shared" si="60"/>
        <v>7</v>
      </c>
      <c r="N700" t="str">
        <f t="shared" si="61"/>
        <v>Jul</v>
      </c>
      <c r="O700" t="str">
        <f t="shared" si="62"/>
        <v>2026-07</v>
      </c>
      <c r="P700" t="str">
        <f t="shared" si="64"/>
        <v>2026-W27</v>
      </c>
      <c r="Q700" t="str">
        <f t="shared" si="65"/>
        <v>Thu</v>
      </c>
    </row>
    <row r="701" spans="1:17" x14ac:dyDescent="0.3">
      <c r="A701" s="2">
        <v>46206</v>
      </c>
      <c r="B701" s="3" t="s">
        <v>747</v>
      </c>
      <c r="C701" s="3" t="s">
        <v>12</v>
      </c>
      <c r="D701" s="3" t="s">
        <v>19</v>
      </c>
      <c r="E701" s="3" t="s">
        <v>41</v>
      </c>
      <c r="F701" s="3" t="s">
        <v>21</v>
      </c>
      <c r="G701" s="3">
        <v>73</v>
      </c>
      <c r="H701" s="4">
        <v>3630</v>
      </c>
      <c r="I701" s="4">
        <v>3500</v>
      </c>
      <c r="J701" s="3" t="s">
        <v>22</v>
      </c>
      <c r="K701" s="3" t="s">
        <v>17</v>
      </c>
      <c r="L701">
        <f t="shared" si="63"/>
        <v>2026</v>
      </c>
      <c r="M701">
        <f t="shared" si="60"/>
        <v>7</v>
      </c>
      <c r="N701" t="str">
        <f t="shared" si="61"/>
        <v>Jul</v>
      </c>
      <c r="O701" t="str">
        <f t="shared" si="62"/>
        <v>2026-07</v>
      </c>
      <c r="P701" t="str">
        <f t="shared" si="64"/>
        <v>2026-W27</v>
      </c>
      <c r="Q701" t="str">
        <f t="shared" si="65"/>
        <v>Fri</v>
      </c>
    </row>
    <row r="702" spans="1:17" x14ac:dyDescent="0.3">
      <c r="A702" s="2">
        <v>46206</v>
      </c>
      <c r="B702" s="3" t="s">
        <v>748</v>
      </c>
      <c r="C702" s="3" t="s">
        <v>43</v>
      </c>
      <c r="D702" s="3" t="s">
        <v>13</v>
      </c>
      <c r="E702" s="3" t="s">
        <v>29</v>
      </c>
      <c r="F702" s="3" t="s">
        <v>21</v>
      </c>
      <c r="G702" s="3">
        <v>19</v>
      </c>
      <c r="H702" s="4">
        <v>843</v>
      </c>
      <c r="I702" s="4">
        <v>1000</v>
      </c>
      <c r="J702" s="3" t="s">
        <v>22</v>
      </c>
      <c r="K702" s="3" t="s">
        <v>17</v>
      </c>
      <c r="L702">
        <f t="shared" si="63"/>
        <v>2026</v>
      </c>
      <c r="M702">
        <f t="shared" si="60"/>
        <v>7</v>
      </c>
      <c r="N702" t="str">
        <f t="shared" si="61"/>
        <v>Jul</v>
      </c>
      <c r="O702" t="str">
        <f t="shared" si="62"/>
        <v>2026-07</v>
      </c>
      <c r="P702" t="str">
        <f t="shared" si="64"/>
        <v>2026-W27</v>
      </c>
      <c r="Q702" t="str">
        <f t="shared" si="65"/>
        <v>Fri</v>
      </c>
    </row>
    <row r="703" spans="1:17" x14ac:dyDescent="0.3">
      <c r="A703" s="2">
        <v>46206</v>
      </c>
      <c r="B703" s="3" t="s">
        <v>749</v>
      </c>
      <c r="C703" s="3" t="s">
        <v>43</v>
      </c>
      <c r="D703" s="3" t="s">
        <v>53</v>
      </c>
      <c r="E703" s="3" t="s">
        <v>61</v>
      </c>
      <c r="F703" s="3" t="s">
        <v>59</v>
      </c>
      <c r="G703" s="3">
        <v>108</v>
      </c>
      <c r="H703" s="4">
        <v>14287</v>
      </c>
      <c r="I703" s="4">
        <v>17400</v>
      </c>
      <c r="J703" s="3" t="s">
        <v>22</v>
      </c>
      <c r="K703" s="3" t="s">
        <v>36</v>
      </c>
      <c r="L703">
        <f t="shared" si="63"/>
        <v>2026</v>
      </c>
      <c r="M703">
        <f t="shared" si="60"/>
        <v>7</v>
      </c>
      <c r="N703" t="str">
        <f t="shared" si="61"/>
        <v>Jul</v>
      </c>
      <c r="O703" t="str">
        <f t="shared" si="62"/>
        <v>2026-07</v>
      </c>
      <c r="P703" t="str">
        <f t="shared" si="64"/>
        <v>2026-W27</v>
      </c>
      <c r="Q703" t="str">
        <f t="shared" si="65"/>
        <v>Fri</v>
      </c>
    </row>
    <row r="704" spans="1:17" x14ac:dyDescent="0.3">
      <c r="A704" s="2">
        <v>46206</v>
      </c>
      <c r="B704" s="3" t="s">
        <v>750</v>
      </c>
      <c r="C704" s="3" t="s">
        <v>43</v>
      </c>
      <c r="D704" s="3" t="s">
        <v>26</v>
      </c>
      <c r="E704" s="3" t="s">
        <v>33</v>
      </c>
      <c r="F704" s="3" t="s">
        <v>34</v>
      </c>
      <c r="G704" s="3">
        <v>105</v>
      </c>
      <c r="H704" s="4">
        <v>7723</v>
      </c>
      <c r="I704" s="4">
        <v>9500</v>
      </c>
      <c r="J704" s="3" t="s">
        <v>22</v>
      </c>
      <c r="K704" s="3" t="s">
        <v>36</v>
      </c>
      <c r="L704">
        <f t="shared" si="63"/>
        <v>2026</v>
      </c>
      <c r="M704">
        <f t="shared" si="60"/>
        <v>7</v>
      </c>
      <c r="N704" t="str">
        <f t="shared" si="61"/>
        <v>Jul</v>
      </c>
      <c r="O704" t="str">
        <f t="shared" si="62"/>
        <v>2026-07</v>
      </c>
      <c r="P704" t="str">
        <f t="shared" si="64"/>
        <v>2026-W27</v>
      </c>
      <c r="Q704" t="str">
        <f t="shared" si="65"/>
        <v>Fri</v>
      </c>
    </row>
    <row r="705" spans="1:17" x14ac:dyDescent="0.3">
      <c r="A705" s="2">
        <v>46206</v>
      </c>
      <c r="B705" s="3" t="s">
        <v>751</v>
      </c>
      <c r="C705" s="3" t="s">
        <v>57</v>
      </c>
      <c r="D705" s="3" t="s">
        <v>47</v>
      </c>
      <c r="E705" s="3" t="s">
        <v>41</v>
      </c>
      <c r="F705" s="3" t="s">
        <v>21</v>
      </c>
      <c r="G705" s="3">
        <v>42</v>
      </c>
      <c r="H705" s="4">
        <v>2157</v>
      </c>
      <c r="I705" s="4">
        <v>2200</v>
      </c>
      <c r="J705" s="3" t="s">
        <v>16</v>
      </c>
      <c r="K705" s="3" t="s">
        <v>17</v>
      </c>
      <c r="L705">
        <f t="shared" si="63"/>
        <v>2026</v>
      </c>
      <c r="M705">
        <f t="shared" si="60"/>
        <v>7</v>
      </c>
      <c r="N705" t="str">
        <f t="shared" si="61"/>
        <v>Jul</v>
      </c>
      <c r="O705" t="str">
        <f t="shared" si="62"/>
        <v>2026-07</v>
      </c>
      <c r="P705" t="str">
        <f t="shared" si="64"/>
        <v>2026-W27</v>
      </c>
      <c r="Q705" t="str">
        <f t="shared" si="65"/>
        <v>Fri</v>
      </c>
    </row>
    <row r="706" spans="1:17" x14ac:dyDescent="0.3">
      <c r="A706" s="2">
        <v>46206</v>
      </c>
      <c r="B706" s="3" t="s">
        <v>752</v>
      </c>
      <c r="C706" s="3" t="s">
        <v>32</v>
      </c>
      <c r="D706" s="3" t="s">
        <v>26</v>
      </c>
      <c r="E706" s="3" t="s">
        <v>123</v>
      </c>
      <c r="F706" s="3" t="s">
        <v>59</v>
      </c>
      <c r="G706" s="3">
        <v>62</v>
      </c>
      <c r="H706" s="4">
        <v>7832</v>
      </c>
      <c r="I706" s="4">
        <v>7400</v>
      </c>
      <c r="J706" s="3" t="s">
        <v>22</v>
      </c>
      <c r="K706" s="3" t="s">
        <v>36</v>
      </c>
      <c r="L706">
        <f t="shared" si="63"/>
        <v>2026</v>
      </c>
      <c r="M706">
        <f t="shared" ref="M706:M769" si="66">MONTH($A706)</f>
        <v>7</v>
      </c>
      <c r="N706" t="str">
        <f t="shared" ref="N706:N769" si="67">TEXT($A706,"mmm")</f>
        <v>Jul</v>
      </c>
      <c r="O706" t="str">
        <f t="shared" ref="O706:O769" si="68">YEAR($A706)&amp;"-"&amp;TEXT(MONTH($A706),"00")</f>
        <v>2026-07</v>
      </c>
      <c r="P706" t="str">
        <f t="shared" si="64"/>
        <v>2026-W27</v>
      </c>
      <c r="Q706" t="str">
        <f t="shared" si="65"/>
        <v>Fri</v>
      </c>
    </row>
    <row r="707" spans="1:17" x14ac:dyDescent="0.3">
      <c r="A707" s="2">
        <v>46207</v>
      </c>
      <c r="B707" s="3" t="s">
        <v>753</v>
      </c>
      <c r="C707" s="3" t="s">
        <v>38</v>
      </c>
      <c r="D707" s="3" t="s">
        <v>26</v>
      </c>
      <c r="E707" s="3" t="s">
        <v>20</v>
      </c>
      <c r="F707" s="3" t="s">
        <v>21</v>
      </c>
      <c r="G707" s="3">
        <v>5</v>
      </c>
      <c r="H707" s="4">
        <v>223</v>
      </c>
      <c r="I707" s="4">
        <v>300</v>
      </c>
      <c r="J707" s="3" t="s">
        <v>22</v>
      </c>
      <c r="K707" s="3" t="s">
        <v>30</v>
      </c>
      <c r="L707">
        <f t="shared" ref="L707:L770" si="69">YEAR($A707)</f>
        <v>2026</v>
      </c>
      <c r="M707">
        <f t="shared" si="66"/>
        <v>7</v>
      </c>
      <c r="N707" t="str">
        <f t="shared" si="67"/>
        <v>Jul</v>
      </c>
      <c r="O707" t="str">
        <f t="shared" si="68"/>
        <v>2026-07</v>
      </c>
      <c r="P707" t="str">
        <f t="shared" ref="P707:P770" si="70">YEAR($A707)&amp;"-W"&amp;TEXT(WEEKNUM($A707,2),"00")</f>
        <v>2026-W27</v>
      </c>
      <c r="Q707" t="str">
        <f t="shared" ref="Q707:Q770" si="71">CHOOSE(WEEKDAY($A707,2),"Mon","Tue","Wed","Thu","Fri","Sat","Sun")</f>
        <v>Sat</v>
      </c>
    </row>
    <row r="708" spans="1:17" x14ac:dyDescent="0.3">
      <c r="A708" s="2">
        <v>46207</v>
      </c>
      <c r="B708" s="3" t="s">
        <v>754</v>
      </c>
      <c r="C708" s="3" t="s">
        <v>43</v>
      </c>
      <c r="D708" s="3" t="s">
        <v>53</v>
      </c>
      <c r="E708" s="3" t="s">
        <v>27</v>
      </c>
      <c r="F708" s="3" t="s">
        <v>15</v>
      </c>
      <c r="G708" s="3">
        <v>26</v>
      </c>
      <c r="H708" s="4">
        <v>1529</v>
      </c>
      <c r="I708" s="4">
        <v>1300</v>
      </c>
      <c r="J708" s="3" t="s">
        <v>22</v>
      </c>
      <c r="K708" s="3" t="s">
        <v>17</v>
      </c>
      <c r="L708">
        <f t="shared" si="69"/>
        <v>2026</v>
      </c>
      <c r="M708">
        <f t="shared" si="66"/>
        <v>7</v>
      </c>
      <c r="N708" t="str">
        <f t="shared" si="67"/>
        <v>Jul</v>
      </c>
      <c r="O708" t="str">
        <f t="shared" si="68"/>
        <v>2026-07</v>
      </c>
      <c r="P708" t="str">
        <f t="shared" si="70"/>
        <v>2026-W27</v>
      </c>
      <c r="Q708" t="str">
        <f t="shared" si="71"/>
        <v>Sat</v>
      </c>
    </row>
    <row r="709" spans="1:17" x14ac:dyDescent="0.3">
      <c r="A709" s="2">
        <v>46207</v>
      </c>
      <c r="B709" s="3" t="s">
        <v>755</v>
      </c>
      <c r="C709" s="3" t="s">
        <v>25</v>
      </c>
      <c r="D709" s="3" t="s">
        <v>53</v>
      </c>
      <c r="E709" s="3" t="s">
        <v>61</v>
      </c>
      <c r="F709" s="3" t="s">
        <v>59</v>
      </c>
      <c r="G709" s="3">
        <v>118</v>
      </c>
      <c r="H709" s="4">
        <v>11472</v>
      </c>
      <c r="I709" s="4">
        <v>11800</v>
      </c>
      <c r="J709" s="3" t="s">
        <v>22</v>
      </c>
      <c r="K709" s="3" t="s">
        <v>17</v>
      </c>
      <c r="L709">
        <f t="shared" si="69"/>
        <v>2026</v>
      </c>
      <c r="M709">
        <f t="shared" si="66"/>
        <v>7</v>
      </c>
      <c r="N709" t="str">
        <f t="shared" si="67"/>
        <v>Jul</v>
      </c>
      <c r="O709" t="str">
        <f t="shared" si="68"/>
        <v>2026-07</v>
      </c>
      <c r="P709" t="str">
        <f t="shared" si="70"/>
        <v>2026-W27</v>
      </c>
      <c r="Q709" t="str">
        <f t="shared" si="71"/>
        <v>Sat</v>
      </c>
    </row>
    <row r="710" spans="1:17" x14ac:dyDescent="0.3">
      <c r="A710" s="2">
        <v>46207</v>
      </c>
      <c r="B710" s="3" t="s">
        <v>756</v>
      </c>
      <c r="C710" s="3" t="s">
        <v>91</v>
      </c>
      <c r="D710" s="3" t="s">
        <v>26</v>
      </c>
      <c r="E710" s="3" t="s">
        <v>20</v>
      </c>
      <c r="F710" s="3" t="s">
        <v>21</v>
      </c>
      <c r="G710" s="3">
        <v>106</v>
      </c>
      <c r="H710" s="4">
        <v>5249</v>
      </c>
      <c r="I710" s="4">
        <v>5700</v>
      </c>
      <c r="J710" s="3" t="s">
        <v>22</v>
      </c>
      <c r="K710" s="3" t="s">
        <v>23</v>
      </c>
      <c r="L710">
        <f t="shared" si="69"/>
        <v>2026</v>
      </c>
      <c r="M710">
        <f t="shared" si="66"/>
        <v>7</v>
      </c>
      <c r="N710" t="str">
        <f t="shared" si="67"/>
        <v>Jul</v>
      </c>
      <c r="O710" t="str">
        <f t="shared" si="68"/>
        <v>2026-07</v>
      </c>
      <c r="P710" t="str">
        <f t="shared" si="70"/>
        <v>2026-W27</v>
      </c>
      <c r="Q710" t="str">
        <f t="shared" si="71"/>
        <v>Sat</v>
      </c>
    </row>
    <row r="711" spans="1:17" x14ac:dyDescent="0.3">
      <c r="A711" s="2">
        <v>46207</v>
      </c>
      <c r="B711" s="3" t="s">
        <v>757</v>
      </c>
      <c r="C711" s="3" t="s">
        <v>32</v>
      </c>
      <c r="D711" s="3" t="s">
        <v>26</v>
      </c>
      <c r="E711" s="3" t="s">
        <v>48</v>
      </c>
      <c r="F711" s="3" t="s">
        <v>15</v>
      </c>
      <c r="G711" s="3">
        <v>11</v>
      </c>
      <c r="H711" s="4">
        <v>663</v>
      </c>
      <c r="I711" s="4">
        <v>700</v>
      </c>
      <c r="J711" s="3" t="s">
        <v>22</v>
      </c>
      <c r="K711" s="3" t="s">
        <v>36</v>
      </c>
      <c r="L711">
        <f t="shared" si="69"/>
        <v>2026</v>
      </c>
      <c r="M711">
        <f t="shared" si="66"/>
        <v>7</v>
      </c>
      <c r="N711" t="str">
        <f t="shared" si="67"/>
        <v>Jul</v>
      </c>
      <c r="O711" t="str">
        <f t="shared" si="68"/>
        <v>2026-07</v>
      </c>
      <c r="P711" t="str">
        <f t="shared" si="70"/>
        <v>2026-W27</v>
      </c>
      <c r="Q711" t="str">
        <f t="shared" si="71"/>
        <v>Sat</v>
      </c>
    </row>
    <row r="712" spans="1:17" x14ac:dyDescent="0.3">
      <c r="A712" s="2">
        <v>46208</v>
      </c>
      <c r="B712" s="3" t="s">
        <v>758</v>
      </c>
      <c r="C712" s="3" t="s">
        <v>43</v>
      </c>
      <c r="D712" s="3" t="s">
        <v>53</v>
      </c>
      <c r="E712" s="3" t="s">
        <v>20</v>
      </c>
      <c r="F712" s="3" t="s">
        <v>21</v>
      </c>
      <c r="G712" s="3">
        <v>107</v>
      </c>
      <c r="H712" s="4">
        <v>4733</v>
      </c>
      <c r="I712" s="4">
        <v>4900</v>
      </c>
      <c r="J712" s="3" t="s">
        <v>22</v>
      </c>
      <c r="K712" s="3" t="s">
        <v>30</v>
      </c>
      <c r="L712">
        <f t="shared" si="69"/>
        <v>2026</v>
      </c>
      <c r="M712">
        <f t="shared" si="66"/>
        <v>7</v>
      </c>
      <c r="N712" t="str">
        <f t="shared" si="67"/>
        <v>Jul</v>
      </c>
      <c r="O712" t="str">
        <f t="shared" si="68"/>
        <v>2026-07</v>
      </c>
      <c r="P712" t="str">
        <f t="shared" si="70"/>
        <v>2026-W27</v>
      </c>
      <c r="Q712" t="str">
        <f t="shared" si="71"/>
        <v>Sun</v>
      </c>
    </row>
    <row r="713" spans="1:17" x14ac:dyDescent="0.3">
      <c r="A713" s="2">
        <v>46208</v>
      </c>
      <c r="B713" s="3" t="s">
        <v>759</v>
      </c>
      <c r="C713" s="3" t="s">
        <v>43</v>
      </c>
      <c r="D713" s="3" t="s">
        <v>13</v>
      </c>
      <c r="E713" s="3" t="s">
        <v>68</v>
      </c>
      <c r="F713" s="3" t="s">
        <v>34</v>
      </c>
      <c r="G713" s="3">
        <v>13</v>
      </c>
      <c r="H713" s="4">
        <v>783</v>
      </c>
      <c r="I713" s="4">
        <v>700</v>
      </c>
      <c r="J713" s="3" t="s">
        <v>22</v>
      </c>
      <c r="K713" s="3" t="s">
        <v>17</v>
      </c>
      <c r="L713">
        <f t="shared" si="69"/>
        <v>2026</v>
      </c>
      <c r="M713">
        <f t="shared" si="66"/>
        <v>7</v>
      </c>
      <c r="N713" t="str">
        <f t="shared" si="67"/>
        <v>Jul</v>
      </c>
      <c r="O713" t="str">
        <f t="shared" si="68"/>
        <v>2026-07</v>
      </c>
      <c r="P713" t="str">
        <f t="shared" si="70"/>
        <v>2026-W27</v>
      </c>
      <c r="Q713" t="str">
        <f t="shared" si="71"/>
        <v>Sun</v>
      </c>
    </row>
    <row r="714" spans="1:17" x14ac:dyDescent="0.3">
      <c r="A714" s="2">
        <v>46209</v>
      </c>
      <c r="B714" s="3" t="s">
        <v>760</v>
      </c>
      <c r="C714" s="3" t="s">
        <v>25</v>
      </c>
      <c r="D714" s="3" t="s">
        <v>26</v>
      </c>
      <c r="E714" s="3" t="s">
        <v>27</v>
      </c>
      <c r="F714" s="3" t="s">
        <v>15</v>
      </c>
      <c r="G714" s="3">
        <v>118</v>
      </c>
      <c r="H714" s="4">
        <v>8083</v>
      </c>
      <c r="I714" s="4">
        <v>7000</v>
      </c>
      <c r="J714" s="3" t="s">
        <v>22</v>
      </c>
      <c r="K714" s="3" t="s">
        <v>30</v>
      </c>
      <c r="L714">
        <f t="shared" si="69"/>
        <v>2026</v>
      </c>
      <c r="M714">
        <f t="shared" si="66"/>
        <v>7</v>
      </c>
      <c r="N714" t="str">
        <f t="shared" si="67"/>
        <v>Jul</v>
      </c>
      <c r="O714" t="str">
        <f t="shared" si="68"/>
        <v>2026-07</v>
      </c>
      <c r="P714" t="str">
        <f t="shared" si="70"/>
        <v>2026-W28</v>
      </c>
      <c r="Q714" t="str">
        <f t="shared" si="71"/>
        <v>Mon</v>
      </c>
    </row>
    <row r="715" spans="1:17" x14ac:dyDescent="0.3">
      <c r="A715" s="2">
        <v>46209</v>
      </c>
      <c r="B715" s="3" t="s">
        <v>761</v>
      </c>
      <c r="C715" s="3" t="s">
        <v>43</v>
      </c>
      <c r="D715" s="3" t="s">
        <v>19</v>
      </c>
      <c r="E715" s="3" t="s">
        <v>61</v>
      </c>
      <c r="F715" s="3" t="s">
        <v>59</v>
      </c>
      <c r="G715" s="3">
        <v>78</v>
      </c>
      <c r="H715" s="4">
        <v>8625</v>
      </c>
      <c r="I715" s="4">
        <v>9800</v>
      </c>
      <c r="J715" s="3" t="s">
        <v>22</v>
      </c>
      <c r="K715" s="3" t="s">
        <v>36</v>
      </c>
      <c r="L715">
        <f t="shared" si="69"/>
        <v>2026</v>
      </c>
      <c r="M715">
        <f t="shared" si="66"/>
        <v>7</v>
      </c>
      <c r="N715" t="str">
        <f t="shared" si="67"/>
        <v>Jul</v>
      </c>
      <c r="O715" t="str">
        <f t="shared" si="68"/>
        <v>2026-07</v>
      </c>
      <c r="P715" t="str">
        <f t="shared" si="70"/>
        <v>2026-W28</v>
      </c>
      <c r="Q715" t="str">
        <f t="shared" si="71"/>
        <v>Mon</v>
      </c>
    </row>
    <row r="716" spans="1:17" x14ac:dyDescent="0.3">
      <c r="A716" s="2">
        <v>46209</v>
      </c>
      <c r="B716" s="3" t="s">
        <v>762</v>
      </c>
      <c r="C716" s="3" t="s">
        <v>25</v>
      </c>
      <c r="D716" s="3" t="s">
        <v>47</v>
      </c>
      <c r="E716" s="3" t="s">
        <v>14</v>
      </c>
      <c r="F716" s="3" t="s">
        <v>15</v>
      </c>
      <c r="G716" s="3">
        <v>88</v>
      </c>
      <c r="H716" s="4">
        <v>5618</v>
      </c>
      <c r="I716" s="4">
        <v>4500</v>
      </c>
      <c r="J716" s="3" t="s">
        <v>22</v>
      </c>
      <c r="K716" s="3" t="s">
        <v>23</v>
      </c>
      <c r="L716">
        <f t="shared" si="69"/>
        <v>2026</v>
      </c>
      <c r="M716">
        <f t="shared" si="66"/>
        <v>7</v>
      </c>
      <c r="N716" t="str">
        <f t="shared" si="67"/>
        <v>Jul</v>
      </c>
      <c r="O716" t="str">
        <f t="shared" si="68"/>
        <v>2026-07</v>
      </c>
      <c r="P716" t="str">
        <f t="shared" si="70"/>
        <v>2026-W28</v>
      </c>
      <c r="Q716" t="str">
        <f t="shared" si="71"/>
        <v>Mon</v>
      </c>
    </row>
    <row r="717" spans="1:17" x14ac:dyDescent="0.3">
      <c r="A717" s="2">
        <v>46209</v>
      </c>
      <c r="B717" s="3" t="s">
        <v>763</v>
      </c>
      <c r="C717" s="3" t="s">
        <v>50</v>
      </c>
      <c r="D717" s="3" t="s">
        <v>26</v>
      </c>
      <c r="E717" s="3" t="s">
        <v>14</v>
      </c>
      <c r="F717" s="3" t="s">
        <v>15</v>
      </c>
      <c r="G717" s="3">
        <v>78</v>
      </c>
      <c r="H717" s="4">
        <v>3981</v>
      </c>
      <c r="I717" s="4">
        <v>4900</v>
      </c>
      <c r="J717" s="3" t="s">
        <v>22</v>
      </c>
      <c r="K717" s="3" t="s">
        <v>36</v>
      </c>
      <c r="L717">
        <f t="shared" si="69"/>
        <v>2026</v>
      </c>
      <c r="M717">
        <f t="shared" si="66"/>
        <v>7</v>
      </c>
      <c r="N717" t="str">
        <f t="shared" si="67"/>
        <v>Jul</v>
      </c>
      <c r="O717" t="str">
        <f t="shared" si="68"/>
        <v>2026-07</v>
      </c>
      <c r="P717" t="str">
        <f t="shared" si="70"/>
        <v>2026-W28</v>
      </c>
      <c r="Q717" t="str">
        <f t="shared" si="71"/>
        <v>Mon</v>
      </c>
    </row>
    <row r="718" spans="1:17" x14ac:dyDescent="0.3">
      <c r="A718" s="2">
        <v>46209</v>
      </c>
      <c r="B718" s="3" t="s">
        <v>764</v>
      </c>
      <c r="C718" s="3" t="s">
        <v>50</v>
      </c>
      <c r="D718" s="3" t="s">
        <v>26</v>
      </c>
      <c r="E718" s="3" t="s">
        <v>29</v>
      </c>
      <c r="F718" s="3" t="s">
        <v>21</v>
      </c>
      <c r="G718" s="3">
        <v>66</v>
      </c>
      <c r="H718" s="4">
        <v>2650</v>
      </c>
      <c r="I718" s="4">
        <v>3000</v>
      </c>
      <c r="J718" s="3" t="s">
        <v>22</v>
      </c>
      <c r="K718" s="3" t="s">
        <v>17</v>
      </c>
      <c r="L718">
        <f t="shared" si="69"/>
        <v>2026</v>
      </c>
      <c r="M718">
        <f t="shared" si="66"/>
        <v>7</v>
      </c>
      <c r="N718" t="str">
        <f t="shared" si="67"/>
        <v>Jul</v>
      </c>
      <c r="O718" t="str">
        <f t="shared" si="68"/>
        <v>2026-07</v>
      </c>
      <c r="P718" t="str">
        <f t="shared" si="70"/>
        <v>2026-W28</v>
      </c>
      <c r="Q718" t="str">
        <f t="shared" si="71"/>
        <v>Mon</v>
      </c>
    </row>
    <row r="719" spans="1:17" x14ac:dyDescent="0.3">
      <c r="A719" s="2">
        <v>46209</v>
      </c>
      <c r="B719" s="3" t="s">
        <v>765</v>
      </c>
      <c r="C719" s="3" t="s">
        <v>43</v>
      </c>
      <c r="D719" s="3" t="s">
        <v>53</v>
      </c>
      <c r="E719" s="3" t="s">
        <v>33</v>
      </c>
      <c r="F719" s="3" t="s">
        <v>34</v>
      </c>
      <c r="G719" s="3">
        <v>99</v>
      </c>
      <c r="H719" s="4">
        <v>6098</v>
      </c>
      <c r="I719" s="4">
        <v>7200</v>
      </c>
      <c r="J719" s="3" t="s">
        <v>22</v>
      </c>
      <c r="K719" s="3" t="s">
        <v>30</v>
      </c>
      <c r="L719">
        <f t="shared" si="69"/>
        <v>2026</v>
      </c>
      <c r="M719">
        <f t="shared" si="66"/>
        <v>7</v>
      </c>
      <c r="N719" t="str">
        <f t="shared" si="67"/>
        <v>Jul</v>
      </c>
      <c r="O719" t="str">
        <f t="shared" si="68"/>
        <v>2026-07</v>
      </c>
      <c r="P719" t="str">
        <f t="shared" si="70"/>
        <v>2026-W28</v>
      </c>
      <c r="Q719" t="str">
        <f t="shared" si="71"/>
        <v>Mon</v>
      </c>
    </row>
    <row r="720" spans="1:17" x14ac:dyDescent="0.3">
      <c r="A720" s="2">
        <v>46210</v>
      </c>
      <c r="B720" s="3" t="s">
        <v>766</v>
      </c>
      <c r="C720" s="3" t="s">
        <v>32</v>
      </c>
      <c r="D720" s="3" t="s">
        <v>53</v>
      </c>
      <c r="E720" s="3" t="s">
        <v>48</v>
      </c>
      <c r="F720" s="3" t="s">
        <v>15</v>
      </c>
      <c r="G720" s="3">
        <v>37</v>
      </c>
      <c r="H720" s="4">
        <v>2168</v>
      </c>
      <c r="I720" s="4">
        <v>1700</v>
      </c>
      <c r="J720" s="3" t="s">
        <v>22</v>
      </c>
      <c r="K720" s="3" t="s">
        <v>17</v>
      </c>
      <c r="L720">
        <f t="shared" si="69"/>
        <v>2026</v>
      </c>
      <c r="M720">
        <f t="shared" si="66"/>
        <v>7</v>
      </c>
      <c r="N720" t="str">
        <f t="shared" si="67"/>
        <v>Jul</v>
      </c>
      <c r="O720" t="str">
        <f t="shared" si="68"/>
        <v>2026-07</v>
      </c>
      <c r="P720" t="str">
        <f t="shared" si="70"/>
        <v>2026-W28</v>
      </c>
      <c r="Q720" t="str">
        <f t="shared" si="71"/>
        <v>Tue</v>
      </c>
    </row>
    <row r="721" spans="1:17" x14ac:dyDescent="0.3">
      <c r="A721" s="2">
        <v>46210</v>
      </c>
      <c r="B721" s="3" t="s">
        <v>767</v>
      </c>
      <c r="C721" s="3" t="s">
        <v>32</v>
      </c>
      <c r="D721" s="3" t="s">
        <v>19</v>
      </c>
      <c r="E721" s="3" t="s">
        <v>33</v>
      </c>
      <c r="F721" s="3" t="s">
        <v>34</v>
      </c>
      <c r="G721" s="3">
        <v>92</v>
      </c>
      <c r="H721" s="4">
        <v>6321</v>
      </c>
      <c r="I721" s="4">
        <v>6000</v>
      </c>
      <c r="J721" s="3" t="s">
        <v>16</v>
      </c>
      <c r="K721" s="3" t="s">
        <v>17</v>
      </c>
      <c r="L721">
        <f t="shared" si="69"/>
        <v>2026</v>
      </c>
      <c r="M721">
        <f t="shared" si="66"/>
        <v>7</v>
      </c>
      <c r="N721" t="str">
        <f t="shared" si="67"/>
        <v>Jul</v>
      </c>
      <c r="O721" t="str">
        <f t="shared" si="68"/>
        <v>2026-07</v>
      </c>
      <c r="P721" t="str">
        <f t="shared" si="70"/>
        <v>2026-W28</v>
      </c>
      <c r="Q721" t="str">
        <f t="shared" si="71"/>
        <v>Tue</v>
      </c>
    </row>
    <row r="722" spans="1:17" x14ac:dyDescent="0.3">
      <c r="A722" s="2">
        <v>46210</v>
      </c>
      <c r="B722" s="3" t="s">
        <v>768</v>
      </c>
      <c r="C722" s="3" t="s">
        <v>32</v>
      </c>
      <c r="D722" s="3" t="s">
        <v>53</v>
      </c>
      <c r="E722" s="3" t="s">
        <v>41</v>
      </c>
      <c r="F722" s="3" t="s">
        <v>21</v>
      </c>
      <c r="G722" s="3">
        <v>59</v>
      </c>
      <c r="H722" s="4">
        <v>2596</v>
      </c>
      <c r="I722" s="4">
        <v>2800</v>
      </c>
      <c r="J722" s="3" t="s">
        <v>22</v>
      </c>
      <c r="K722" s="3" t="s">
        <v>30</v>
      </c>
      <c r="L722">
        <f t="shared" si="69"/>
        <v>2026</v>
      </c>
      <c r="M722">
        <f t="shared" si="66"/>
        <v>7</v>
      </c>
      <c r="N722" t="str">
        <f t="shared" si="67"/>
        <v>Jul</v>
      </c>
      <c r="O722" t="str">
        <f t="shared" si="68"/>
        <v>2026-07</v>
      </c>
      <c r="P722" t="str">
        <f t="shared" si="70"/>
        <v>2026-W28</v>
      </c>
      <c r="Q722" t="str">
        <f t="shared" si="71"/>
        <v>Tue</v>
      </c>
    </row>
    <row r="723" spans="1:17" x14ac:dyDescent="0.3">
      <c r="A723" s="2">
        <v>46211</v>
      </c>
      <c r="B723" s="3" t="s">
        <v>769</v>
      </c>
      <c r="C723" s="3" t="s">
        <v>38</v>
      </c>
      <c r="D723" s="3" t="s">
        <v>65</v>
      </c>
      <c r="E723" s="3" t="s">
        <v>58</v>
      </c>
      <c r="F723" s="3" t="s">
        <v>59</v>
      </c>
      <c r="G723" s="3">
        <v>117</v>
      </c>
      <c r="H723" s="4">
        <v>15463</v>
      </c>
      <c r="I723" s="4">
        <v>16000</v>
      </c>
      <c r="J723" s="3" t="s">
        <v>22</v>
      </c>
      <c r="K723" s="3" t="s">
        <v>36</v>
      </c>
      <c r="L723">
        <f t="shared" si="69"/>
        <v>2026</v>
      </c>
      <c r="M723">
        <f t="shared" si="66"/>
        <v>7</v>
      </c>
      <c r="N723" t="str">
        <f t="shared" si="67"/>
        <v>Jul</v>
      </c>
      <c r="O723" t="str">
        <f t="shared" si="68"/>
        <v>2026-07</v>
      </c>
      <c r="P723" t="str">
        <f t="shared" si="70"/>
        <v>2026-W28</v>
      </c>
      <c r="Q723" t="str">
        <f t="shared" si="71"/>
        <v>Wed</v>
      </c>
    </row>
    <row r="724" spans="1:17" x14ac:dyDescent="0.3">
      <c r="A724" s="2">
        <v>46212</v>
      </c>
      <c r="B724" s="3" t="s">
        <v>770</v>
      </c>
      <c r="C724" s="3" t="s">
        <v>38</v>
      </c>
      <c r="D724" s="3" t="s">
        <v>26</v>
      </c>
      <c r="E724" s="3" t="s">
        <v>48</v>
      </c>
      <c r="F724" s="3" t="s">
        <v>15</v>
      </c>
      <c r="G724" s="3">
        <v>20</v>
      </c>
      <c r="H724" s="4">
        <v>1396</v>
      </c>
      <c r="I724" s="4">
        <v>1700</v>
      </c>
      <c r="J724" s="3" t="s">
        <v>22</v>
      </c>
      <c r="K724" s="3" t="s">
        <v>36</v>
      </c>
      <c r="L724">
        <f t="shared" si="69"/>
        <v>2026</v>
      </c>
      <c r="M724">
        <f t="shared" si="66"/>
        <v>7</v>
      </c>
      <c r="N724" t="str">
        <f t="shared" si="67"/>
        <v>Jul</v>
      </c>
      <c r="O724" t="str">
        <f t="shared" si="68"/>
        <v>2026-07</v>
      </c>
      <c r="P724" t="str">
        <f t="shared" si="70"/>
        <v>2026-W28</v>
      </c>
      <c r="Q724" t="str">
        <f t="shared" si="71"/>
        <v>Thu</v>
      </c>
    </row>
    <row r="725" spans="1:17" x14ac:dyDescent="0.3">
      <c r="A725" s="2">
        <v>46212</v>
      </c>
      <c r="B725" s="3" t="s">
        <v>771</v>
      </c>
      <c r="C725" s="3" t="s">
        <v>50</v>
      </c>
      <c r="D725" s="3" t="s">
        <v>53</v>
      </c>
      <c r="E725" s="3" t="s">
        <v>68</v>
      </c>
      <c r="F725" s="3" t="s">
        <v>34</v>
      </c>
      <c r="G725" s="3">
        <v>22</v>
      </c>
      <c r="H725" s="4">
        <v>1500</v>
      </c>
      <c r="I725" s="4">
        <v>1300</v>
      </c>
      <c r="J725" s="3" t="s">
        <v>22</v>
      </c>
      <c r="K725" s="3" t="s">
        <v>36</v>
      </c>
      <c r="L725">
        <f t="shared" si="69"/>
        <v>2026</v>
      </c>
      <c r="M725">
        <f t="shared" si="66"/>
        <v>7</v>
      </c>
      <c r="N725" t="str">
        <f t="shared" si="67"/>
        <v>Jul</v>
      </c>
      <c r="O725" t="str">
        <f t="shared" si="68"/>
        <v>2026-07</v>
      </c>
      <c r="P725" t="str">
        <f t="shared" si="70"/>
        <v>2026-W28</v>
      </c>
      <c r="Q725" t="str">
        <f t="shared" si="71"/>
        <v>Thu</v>
      </c>
    </row>
    <row r="726" spans="1:17" x14ac:dyDescent="0.3">
      <c r="A726" s="2">
        <v>46212</v>
      </c>
      <c r="B726" s="3" t="s">
        <v>772</v>
      </c>
      <c r="C726" s="3" t="s">
        <v>25</v>
      </c>
      <c r="D726" s="3" t="s">
        <v>26</v>
      </c>
      <c r="E726" s="3" t="s">
        <v>29</v>
      </c>
      <c r="F726" s="3" t="s">
        <v>21</v>
      </c>
      <c r="G726" s="3">
        <v>49</v>
      </c>
      <c r="H726" s="4">
        <v>2126</v>
      </c>
      <c r="I726" s="4">
        <v>1800</v>
      </c>
      <c r="J726" s="3" t="s">
        <v>22</v>
      </c>
      <c r="K726" s="3" t="s">
        <v>30</v>
      </c>
      <c r="L726">
        <f t="shared" si="69"/>
        <v>2026</v>
      </c>
      <c r="M726">
        <f t="shared" si="66"/>
        <v>7</v>
      </c>
      <c r="N726" t="str">
        <f t="shared" si="67"/>
        <v>Jul</v>
      </c>
      <c r="O726" t="str">
        <f t="shared" si="68"/>
        <v>2026-07</v>
      </c>
      <c r="P726" t="str">
        <f t="shared" si="70"/>
        <v>2026-W28</v>
      </c>
      <c r="Q726" t="str">
        <f t="shared" si="71"/>
        <v>Thu</v>
      </c>
    </row>
    <row r="727" spans="1:17" x14ac:dyDescent="0.3">
      <c r="A727" s="2">
        <v>46212</v>
      </c>
      <c r="B727" s="3" t="s">
        <v>773</v>
      </c>
      <c r="C727" s="3" t="s">
        <v>25</v>
      </c>
      <c r="D727" s="3" t="s">
        <v>19</v>
      </c>
      <c r="E727" s="3" t="s">
        <v>41</v>
      </c>
      <c r="F727" s="3" t="s">
        <v>21</v>
      </c>
      <c r="G727" s="3">
        <v>53</v>
      </c>
      <c r="H727" s="4">
        <v>2429</v>
      </c>
      <c r="I727" s="4">
        <v>2700</v>
      </c>
      <c r="J727" s="3" t="s">
        <v>16</v>
      </c>
      <c r="K727" s="3" t="s">
        <v>17</v>
      </c>
      <c r="L727">
        <f t="shared" si="69"/>
        <v>2026</v>
      </c>
      <c r="M727">
        <f t="shared" si="66"/>
        <v>7</v>
      </c>
      <c r="N727" t="str">
        <f t="shared" si="67"/>
        <v>Jul</v>
      </c>
      <c r="O727" t="str">
        <f t="shared" si="68"/>
        <v>2026-07</v>
      </c>
      <c r="P727" t="str">
        <f t="shared" si="70"/>
        <v>2026-W28</v>
      </c>
      <c r="Q727" t="str">
        <f t="shared" si="71"/>
        <v>Thu</v>
      </c>
    </row>
    <row r="728" spans="1:17" x14ac:dyDescent="0.3">
      <c r="A728" s="2">
        <v>46213</v>
      </c>
      <c r="B728" s="3" t="s">
        <v>774</v>
      </c>
      <c r="C728" s="3" t="s">
        <v>25</v>
      </c>
      <c r="D728" s="3" t="s">
        <v>26</v>
      </c>
      <c r="E728" s="3" t="s">
        <v>27</v>
      </c>
      <c r="F728" s="3" t="s">
        <v>15</v>
      </c>
      <c r="G728" s="3">
        <v>29</v>
      </c>
      <c r="H728" s="4">
        <v>1924</v>
      </c>
      <c r="I728" s="4">
        <v>2300</v>
      </c>
      <c r="J728" s="3" t="s">
        <v>22</v>
      </c>
      <c r="K728" s="3" t="s">
        <v>36</v>
      </c>
      <c r="L728">
        <f t="shared" si="69"/>
        <v>2026</v>
      </c>
      <c r="M728">
        <f t="shared" si="66"/>
        <v>7</v>
      </c>
      <c r="N728" t="str">
        <f t="shared" si="67"/>
        <v>Jul</v>
      </c>
      <c r="O728" t="str">
        <f t="shared" si="68"/>
        <v>2026-07</v>
      </c>
      <c r="P728" t="str">
        <f t="shared" si="70"/>
        <v>2026-W28</v>
      </c>
      <c r="Q728" t="str">
        <f t="shared" si="71"/>
        <v>Fri</v>
      </c>
    </row>
    <row r="729" spans="1:17" x14ac:dyDescent="0.3">
      <c r="A729" s="2">
        <v>46213</v>
      </c>
      <c r="B729" s="3" t="s">
        <v>775</v>
      </c>
      <c r="C729" s="3" t="s">
        <v>32</v>
      </c>
      <c r="D729" s="3" t="s">
        <v>26</v>
      </c>
      <c r="E729" s="3" t="s">
        <v>20</v>
      </c>
      <c r="F729" s="3" t="s">
        <v>21</v>
      </c>
      <c r="G729" s="3">
        <v>19</v>
      </c>
      <c r="H729" s="4">
        <v>784</v>
      </c>
      <c r="I729" s="4">
        <v>800</v>
      </c>
      <c r="J729" s="3" t="s">
        <v>22</v>
      </c>
      <c r="K729" s="3" t="s">
        <v>36</v>
      </c>
      <c r="L729">
        <f t="shared" si="69"/>
        <v>2026</v>
      </c>
      <c r="M729">
        <f t="shared" si="66"/>
        <v>7</v>
      </c>
      <c r="N729" t="str">
        <f t="shared" si="67"/>
        <v>Jul</v>
      </c>
      <c r="O729" t="str">
        <f t="shared" si="68"/>
        <v>2026-07</v>
      </c>
      <c r="P729" t="str">
        <f t="shared" si="70"/>
        <v>2026-W28</v>
      </c>
      <c r="Q729" t="str">
        <f t="shared" si="71"/>
        <v>Fri</v>
      </c>
    </row>
    <row r="730" spans="1:17" x14ac:dyDescent="0.3">
      <c r="A730" s="2">
        <v>46213</v>
      </c>
      <c r="B730" s="3" t="s">
        <v>776</v>
      </c>
      <c r="C730" s="3" t="s">
        <v>50</v>
      </c>
      <c r="D730" s="3" t="s">
        <v>26</v>
      </c>
      <c r="E730" s="3" t="s">
        <v>27</v>
      </c>
      <c r="F730" s="3" t="s">
        <v>15</v>
      </c>
      <c r="G730" s="3">
        <v>77</v>
      </c>
      <c r="H730" s="4">
        <v>5147</v>
      </c>
      <c r="I730" s="4">
        <v>6100</v>
      </c>
      <c r="J730" s="3" t="s">
        <v>39</v>
      </c>
      <c r="K730" s="3" t="s">
        <v>36</v>
      </c>
      <c r="L730">
        <f t="shared" si="69"/>
        <v>2026</v>
      </c>
      <c r="M730">
        <f t="shared" si="66"/>
        <v>7</v>
      </c>
      <c r="N730" t="str">
        <f t="shared" si="67"/>
        <v>Jul</v>
      </c>
      <c r="O730" t="str">
        <f t="shared" si="68"/>
        <v>2026-07</v>
      </c>
      <c r="P730" t="str">
        <f t="shared" si="70"/>
        <v>2026-W28</v>
      </c>
      <c r="Q730" t="str">
        <f t="shared" si="71"/>
        <v>Fri</v>
      </c>
    </row>
    <row r="731" spans="1:17" x14ac:dyDescent="0.3">
      <c r="A731" s="2">
        <v>46213</v>
      </c>
      <c r="B731" s="3" t="s">
        <v>777</v>
      </c>
      <c r="C731" s="3" t="s">
        <v>25</v>
      </c>
      <c r="D731" s="3" t="s">
        <v>26</v>
      </c>
      <c r="E731" s="3" t="s">
        <v>48</v>
      </c>
      <c r="F731" s="3" t="s">
        <v>15</v>
      </c>
      <c r="G731" s="3">
        <v>15</v>
      </c>
      <c r="H731" s="4">
        <v>904</v>
      </c>
      <c r="I731" s="4">
        <v>900</v>
      </c>
      <c r="J731" s="3" t="s">
        <v>22</v>
      </c>
      <c r="K731" s="3" t="s">
        <v>36</v>
      </c>
      <c r="L731">
        <f t="shared" si="69"/>
        <v>2026</v>
      </c>
      <c r="M731">
        <f t="shared" si="66"/>
        <v>7</v>
      </c>
      <c r="N731" t="str">
        <f t="shared" si="67"/>
        <v>Jul</v>
      </c>
      <c r="O731" t="str">
        <f t="shared" si="68"/>
        <v>2026-07</v>
      </c>
      <c r="P731" t="str">
        <f t="shared" si="70"/>
        <v>2026-W28</v>
      </c>
      <c r="Q731" t="str">
        <f t="shared" si="71"/>
        <v>Fri</v>
      </c>
    </row>
    <row r="732" spans="1:17" x14ac:dyDescent="0.3">
      <c r="A732" s="2">
        <v>46214</v>
      </c>
      <c r="B732" s="3" t="s">
        <v>778</v>
      </c>
      <c r="C732" s="3" t="s">
        <v>43</v>
      </c>
      <c r="D732" s="3" t="s">
        <v>65</v>
      </c>
      <c r="E732" s="3" t="s">
        <v>48</v>
      </c>
      <c r="F732" s="3" t="s">
        <v>15</v>
      </c>
      <c r="G732" s="3">
        <v>31</v>
      </c>
      <c r="H732" s="4">
        <v>1640</v>
      </c>
      <c r="I732" s="4">
        <v>1300</v>
      </c>
      <c r="J732" s="3" t="s">
        <v>39</v>
      </c>
      <c r="K732" s="3" t="s">
        <v>30</v>
      </c>
      <c r="L732">
        <f t="shared" si="69"/>
        <v>2026</v>
      </c>
      <c r="M732">
        <f t="shared" si="66"/>
        <v>7</v>
      </c>
      <c r="N732" t="str">
        <f t="shared" si="67"/>
        <v>Jul</v>
      </c>
      <c r="O732" t="str">
        <f t="shared" si="68"/>
        <v>2026-07</v>
      </c>
      <c r="P732" t="str">
        <f t="shared" si="70"/>
        <v>2026-W28</v>
      </c>
      <c r="Q732" t="str">
        <f t="shared" si="71"/>
        <v>Sat</v>
      </c>
    </row>
    <row r="733" spans="1:17" x14ac:dyDescent="0.3">
      <c r="A733" s="2">
        <v>46215</v>
      </c>
      <c r="B733" s="3" t="s">
        <v>779</v>
      </c>
      <c r="C733" s="3" t="s">
        <v>32</v>
      </c>
      <c r="D733" s="3" t="s">
        <v>26</v>
      </c>
      <c r="E733" s="3" t="s">
        <v>48</v>
      </c>
      <c r="F733" s="3" t="s">
        <v>15</v>
      </c>
      <c r="G733" s="3">
        <v>67</v>
      </c>
      <c r="H733" s="4">
        <v>4029</v>
      </c>
      <c r="I733" s="4">
        <v>3700</v>
      </c>
      <c r="J733" s="3" t="s">
        <v>22</v>
      </c>
      <c r="K733" s="3" t="s">
        <v>36</v>
      </c>
      <c r="L733">
        <f t="shared" si="69"/>
        <v>2026</v>
      </c>
      <c r="M733">
        <f t="shared" si="66"/>
        <v>7</v>
      </c>
      <c r="N733" t="str">
        <f t="shared" si="67"/>
        <v>Jul</v>
      </c>
      <c r="O733" t="str">
        <f t="shared" si="68"/>
        <v>2026-07</v>
      </c>
      <c r="P733" t="str">
        <f t="shared" si="70"/>
        <v>2026-W28</v>
      </c>
      <c r="Q733" t="str">
        <f t="shared" si="71"/>
        <v>Sun</v>
      </c>
    </row>
    <row r="734" spans="1:17" x14ac:dyDescent="0.3">
      <c r="A734" s="2">
        <v>46215</v>
      </c>
      <c r="B734" s="3" t="s">
        <v>780</v>
      </c>
      <c r="C734" s="3" t="s">
        <v>43</v>
      </c>
      <c r="D734" s="3" t="s">
        <v>19</v>
      </c>
      <c r="E734" s="3" t="s">
        <v>33</v>
      </c>
      <c r="F734" s="3" t="s">
        <v>34</v>
      </c>
      <c r="G734" s="3">
        <v>57</v>
      </c>
      <c r="H734" s="4">
        <v>4572</v>
      </c>
      <c r="I734" s="4">
        <v>5600</v>
      </c>
      <c r="J734" s="3" t="s">
        <v>22</v>
      </c>
      <c r="K734" s="3" t="s">
        <v>30</v>
      </c>
      <c r="L734">
        <f t="shared" si="69"/>
        <v>2026</v>
      </c>
      <c r="M734">
        <f t="shared" si="66"/>
        <v>7</v>
      </c>
      <c r="N734" t="str">
        <f t="shared" si="67"/>
        <v>Jul</v>
      </c>
      <c r="O734" t="str">
        <f t="shared" si="68"/>
        <v>2026-07</v>
      </c>
      <c r="P734" t="str">
        <f t="shared" si="70"/>
        <v>2026-W28</v>
      </c>
      <c r="Q734" t="str">
        <f t="shared" si="71"/>
        <v>Sun</v>
      </c>
    </row>
    <row r="735" spans="1:17" x14ac:dyDescent="0.3">
      <c r="A735" s="2">
        <v>46215</v>
      </c>
      <c r="B735" s="3" t="s">
        <v>781</v>
      </c>
      <c r="C735" s="3" t="s">
        <v>50</v>
      </c>
      <c r="D735" s="3" t="s">
        <v>26</v>
      </c>
      <c r="E735" s="3" t="s">
        <v>33</v>
      </c>
      <c r="F735" s="3" t="s">
        <v>34</v>
      </c>
      <c r="G735" s="3">
        <v>58</v>
      </c>
      <c r="H735" s="4">
        <v>3825</v>
      </c>
      <c r="I735" s="4">
        <v>3800</v>
      </c>
      <c r="J735" s="3" t="s">
        <v>22</v>
      </c>
      <c r="K735" s="3" t="s">
        <v>36</v>
      </c>
      <c r="L735">
        <f t="shared" si="69"/>
        <v>2026</v>
      </c>
      <c r="M735">
        <f t="shared" si="66"/>
        <v>7</v>
      </c>
      <c r="N735" t="str">
        <f t="shared" si="67"/>
        <v>Jul</v>
      </c>
      <c r="O735" t="str">
        <f t="shared" si="68"/>
        <v>2026-07</v>
      </c>
      <c r="P735" t="str">
        <f t="shared" si="70"/>
        <v>2026-W28</v>
      </c>
      <c r="Q735" t="str">
        <f t="shared" si="71"/>
        <v>Sun</v>
      </c>
    </row>
    <row r="736" spans="1:17" x14ac:dyDescent="0.3">
      <c r="A736" s="2">
        <v>46215</v>
      </c>
      <c r="B736" s="3" t="s">
        <v>782</v>
      </c>
      <c r="C736" s="3" t="s">
        <v>32</v>
      </c>
      <c r="D736" s="3" t="s">
        <v>26</v>
      </c>
      <c r="E736" s="3" t="s">
        <v>41</v>
      </c>
      <c r="F736" s="3" t="s">
        <v>21</v>
      </c>
      <c r="G736" s="3">
        <v>26</v>
      </c>
      <c r="H736" s="4">
        <v>1292</v>
      </c>
      <c r="I736" s="4">
        <v>1600</v>
      </c>
      <c r="J736" s="3" t="s">
        <v>22</v>
      </c>
      <c r="K736" s="3" t="s">
        <v>36</v>
      </c>
      <c r="L736">
        <f t="shared" si="69"/>
        <v>2026</v>
      </c>
      <c r="M736">
        <f t="shared" si="66"/>
        <v>7</v>
      </c>
      <c r="N736" t="str">
        <f t="shared" si="67"/>
        <v>Jul</v>
      </c>
      <c r="O736" t="str">
        <f t="shared" si="68"/>
        <v>2026-07</v>
      </c>
      <c r="P736" t="str">
        <f t="shared" si="70"/>
        <v>2026-W28</v>
      </c>
      <c r="Q736" t="str">
        <f t="shared" si="71"/>
        <v>Sun</v>
      </c>
    </row>
    <row r="737" spans="1:17" x14ac:dyDescent="0.3">
      <c r="A737" s="2">
        <v>46215</v>
      </c>
      <c r="B737" s="3" t="s">
        <v>783</v>
      </c>
      <c r="C737" s="3" t="s">
        <v>91</v>
      </c>
      <c r="D737" s="3" t="s">
        <v>65</v>
      </c>
      <c r="E737" s="3" t="s">
        <v>29</v>
      </c>
      <c r="F737" s="3" t="s">
        <v>21</v>
      </c>
      <c r="G737" s="3">
        <v>49</v>
      </c>
      <c r="H737" s="4">
        <v>1919</v>
      </c>
      <c r="I737" s="4">
        <v>1800</v>
      </c>
      <c r="J737" s="3" t="s">
        <v>22</v>
      </c>
      <c r="K737" s="3" t="s">
        <v>23</v>
      </c>
      <c r="L737">
        <f t="shared" si="69"/>
        <v>2026</v>
      </c>
      <c r="M737">
        <f t="shared" si="66"/>
        <v>7</v>
      </c>
      <c r="N737" t="str">
        <f t="shared" si="67"/>
        <v>Jul</v>
      </c>
      <c r="O737" t="str">
        <f t="shared" si="68"/>
        <v>2026-07</v>
      </c>
      <c r="P737" t="str">
        <f t="shared" si="70"/>
        <v>2026-W28</v>
      </c>
      <c r="Q737" t="str">
        <f t="shared" si="71"/>
        <v>Sun</v>
      </c>
    </row>
    <row r="738" spans="1:17" x14ac:dyDescent="0.3">
      <c r="A738" s="2">
        <v>46216</v>
      </c>
      <c r="B738" s="3" t="s">
        <v>784</v>
      </c>
      <c r="C738" s="3" t="s">
        <v>32</v>
      </c>
      <c r="D738" s="3" t="s">
        <v>53</v>
      </c>
      <c r="E738" s="3" t="s">
        <v>68</v>
      </c>
      <c r="F738" s="3" t="s">
        <v>34</v>
      </c>
      <c r="G738" s="3">
        <v>9</v>
      </c>
      <c r="H738" s="4">
        <v>731</v>
      </c>
      <c r="I738" s="4">
        <v>800</v>
      </c>
      <c r="J738" s="3" t="s">
        <v>22</v>
      </c>
      <c r="K738" s="3" t="s">
        <v>36</v>
      </c>
      <c r="L738">
        <f t="shared" si="69"/>
        <v>2026</v>
      </c>
      <c r="M738">
        <f t="shared" si="66"/>
        <v>7</v>
      </c>
      <c r="N738" t="str">
        <f t="shared" si="67"/>
        <v>Jul</v>
      </c>
      <c r="O738" t="str">
        <f t="shared" si="68"/>
        <v>2026-07</v>
      </c>
      <c r="P738" t="str">
        <f t="shared" si="70"/>
        <v>2026-W29</v>
      </c>
      <c r="Q738" t="str">
        <f t="shared" si="71"/>
        <v>Mon</v>
      </c>
    </row>
    <row r="739" spans="1:17" x14ac:dyDescent="0.3">
      <c r="A739" s="2">
        <v>46216</v>
      </c>
      <c r="B739" s="3" t="s">
        <v>785</v>
      </c>
      <c r="C739" s="3" t="s">
        <v>43</v>
      </c>
      <c r="D739" s="3" t="s">
        <v>47</v>
      </c>
      <c r="E739" s="3" t="s">
        <v>68</v>
      </c>
      <c r="F739" s="3" t="s">
        <v>34</v>
      </c>
      <c r="G739" s="3">
        <v>25</v>
      </c>
      <c r="H739" s="4">
        <v>1940</v>
      </c>
      <c r="I739" s="4">
        <v>2300</v>
      </c>
      <c r="J739" s="3" t="s">
        <v>16</v>
      </c>
      <c r="K739" s="3" t="s">
        <v>17</v>
      </c>
      <c r="L739">
        <f t="shared" si="69"/>
        <v>2026</v>
      </c>
      <c r="M739">
        <f t="shared" si="66"/>
        <v>7</v>
      </c>
      <c r="N739" t="str">
        <f t="shared" si="67"/>
        <v>Jul</v>
      </c>
      <c r="O739" t="str">
        <f t="shared" si="68"/>
        <v>2026-07</v>
      </c>
      <c r="P739" t="str">
        <f t="shared" si="70"/>
        <v>2026-W29</v>
      </c>
      <c r="Q739" t="str">
        <f t="shared" si="71"/>
        <v>Mon</v>
      </c>
    </row>
    <row r="740" spans="1:17" x14ac:dyDescent="0.3">
      <c r="A740" s="2">
        <v>46216</v>
      </c>
      <c r="B740" s="3" t="s">
        <v>786</v>
      </c>
      <c r="C740" s="3" t="s">
        <v>50</v>
      </c>
      <c r="D740" s="3" t="s">
        <v>19</v>
      </c>
      <c r="E740" s="3" t="s">
        <v>33</v>
      </c>
      <c r="F740" s="3" t="s">
        <v>34</v>
      </c>
      <c r="G740" s="3">
        <v>13</v>
      </c>
      <c r="H740" s="4">
        <v>786</v>
      </c>
      <c r="I740" s="4">
        <v>900</v>
      </c>
      <c r="J740" s="3" t="s">
        <v>22</v>
      </c>
      <c r="K740" s="3" t="s">
        <v>23</v>
      </c>
      <c r="L740">
        <f t="shared" si="69"/>
        <v>2026</v>
      </c>
      <c r="M740">
        <f t="shared" si="66"/>
        <v>7</v>
      </c>
      <c r="N740" t="str">
        <f t="shared" si="67"/>
        <v>Jul</v>
      </c>
      <c r="O740" t="str">
        <f t="shared" si="68"/>
        <v>2026-07</v>
      </c>
      <c r="P740" t="str">
        <f t="shared" si="70"/>
        <v>2026-W29</v>
      </c>
      <c r="Q740" t="str">
        <f t="shared" si="71"/>
        <v>Mon</v>
      </c>
    </row>
    <row r="741" spans="1:17" x14ac:dyDescent="0.3">
      <c r="A741" s="2">
        <v>46216</v>
      </c>
      <c r="B741" s="3" t="s">
        <v>787</v>
      </c>
      <c r="C741" s="3" t="s">
        <v>50</v>
      </c>
      <c r="D741" s="3" t="s">
        <v>13</v>
      </c>
      <c r="E741" s="3" t="s">
        <v>123</v>
      </c>
      <c r="F741" s="3" t="s">
        <v>59</v>
      </c>
      <c r="G741" s="3">
        <v>36</v>
      </c>
      <c r="H741" s="4">
        <v>3624</v>
      </c>
      <c r="I741" s="4">
        <v>2900</v>
      </c>
      <c r="J741" s="3" t="s">
        <v>39</v>
      </c>
      <c r="K741" s="3" t="s">
        <v>36</v>
      </c>
      <c r="L741">
        <f t="shared" si="69"/>
        <v>2026</v>
      </c>
      <c r="M741">
        <f t="shared" si="66"/>
        <v>7</v>
      </c>
      <c r="N741" t="str">
        <f t="shared" si="67"/>
        <v>Jul</v>
      </c>
      <c r="O741" t="str">
        <f t="shared" si="68"/>
        <v>2026-07</v>
      </c>
      <c r="P741" t="str">
        <f t="shared" si="70"/>
        <v>2026-W29</v>
      </c>
      <c r="Q741" t="str">
        <f t="shared" si="71"/>
        <v>Mon</v>
      </c>
    </row>
    <row r="742" spans="1:17" x14ac:dyDescent="0.3">
      <c r="A742" s="2">
        <v>46216</v>
      </c>
      <c r="B742" s="3" t="s">
        <v>788</v>
      </c>
      <c r="C742" s="3" t="s">
        <v>38</v>
      </c>
      <c r="D742" s="3" t="s">
        <v>65</v>
      </c>
      <c r="E742" s="3" t="s">
        <v>27</v>
      </c>
      <c r="F742" s="3" t="s">
        <v>15</v>
      </c>
      <c r="G742" s="3">
        <v>53</v>
      </c>
      <c r="H742" s="4">
        <v>3094</v>
      </c>
      <c r="I742" s="4">
        <v>3600</v>
      </c>
      <c r="J742" s="3" t="s">
        <v>22</v>
      </c>
      <c r="K742" s="3" t="s">
        <v>36</v>
      </c>
      <c r="L742">
        <f t="shared" si="69"/>
        <v>2026</v>
      </c>
      <c r="M742">
        <f t="shared" si="66"/>
        <v>7</v>
      </c>
      <c r="N742" t="str">
        <f t="shared" si="67"/>
        <v>Jul</v>
      </c>
      <c r="O742" t="str">
        <f t="shared" si="68"/>
        <v>2026-07</v>
      </c>
      <c r="P742" t="str">
        <f t="shared" si="70"/>
        <v>2026-W29</v>
      </c>
      <c r="Q742" t="str">
        <f t="shared" si="71"/>
        <v>Mon</v>
      </c>
    </row>
    <row r="743" spans="1:17" x14ac:dyDescent="0.3">
      <c r="A743" s="2">
        <v>46218</v>
      </c>
      <c r="B743" s="3" t="s">
        <v>789</v>
      </c>
      <c r="C743" s="3" t="s">
        <v>32</v>
      </c>
      <c r="D743" s="3" t="s">
        <v>53</v>
      </c>
      <c r="E743" s="3" t="s">
        <v>68</v>
      </c>
      <c r="F743" s="3" t="s">
        <v>34</v>
      </c>
      <c r="G743" s="3">
        <v>68</v>
      </c>
      <c r="H743" s="4">
        <v>4482</v>
      </c>
      <c r="I743" s="4">
        <v>4900</v>
      </c>
      <c r="J743" s="3" t="s">
        <v>22</v>
      </c>
      <c r="K743" s="3" t="s">
        <v>23</v>
      </c>
      <c r="L743">
        <f t="shared" si="69"/>
        <v>2026</v>
      </c>
      <c r="M743">
        <f t="shared" si="66"/>
        <v>7</v>
      </c>
      <c r="N743" t="str">
        <f t="shared" si="67"/>
        <v>Jul</v>
      </c>
      <c r="O743" t="str">
        <f t="shared" si="68"/>
        <v>2026-07</v>
      </c>
      <c r="P743" t="str">
        <f t="shared" si="70"/>
        <v>2026-W29</v>
      </c>
      <c r="Q743" t="str">
        <f t="shared" si="71"/>
        <v>Wed</v>
      </c>
    </row>
    <row r="744" spans="1:17" x14ac:dyDescent="0.3">
      <c r="A744" s="2">
        <v>46218</v>
      </c>
      <c r="B744" s="3" t="s">
        <v>790</v>
      </c>
      <c r="C744" s="3" t="s">
        <v>57</v>
      </c>
      <c r="D744" s="3" t="s">
        <v>26</v>
      </c>
      <c r="E744" s="3" t="s">
        <v>41</v>
      </c>
      <c r="F744" s="3" t="s">
        <v>21</v>
      </c>
      <c r="G744" s="3">
        <v>30</v>
      </c>
      <c r="H744" s="4">
        <v>1150</v>
      </c>
      <c r="I744" s="4">
        <v>1000</v>
      </c>
      <c r="J744" s="3" t="s">
        <v>22</v>
      </c>
      <c r="K744" s="3" t="s">
        <v>17</v>
      </c>
      <c r="L744">
        <f t="shared" si="69"/>
        <v>2026</v>
      </c>
      <c r="M744">
        <f t="shared" si="66"/>
        <v>7</v>
      </c>
      <c r="N744" t="str">
        <f t="shared" si="67"/>
        <v>Jul</v>
      </c>
      <c r="O744" t="str">
        <f t="shared" si="68"/>
        <v>2026-07</v>
      </c>
      <c r="P744" t="str">
        <f t="shared" si="70"/>
        <v>2026-W29</v>
      </c>
      <c r="Q744" t="str">
        <f t="shared" si="71"/>
        <v>Wed</v>
      </c>
    </row>
    <row r="745" spans="1:17" x14ac:dyDescent="0.3">
      <c r="A745" s="2">
        <v>46218</v>
      </c>
      <c r="B745" s="3" t="s">
        <v>791</v>
      </c>
      <c r="C745" s="3" t="s">
        <v>43</v>
      </c>
      <c r="D745" s="3" t="s">
        <v>19</v>
      </c>
      <c r="E745" s="3" t="s">
        <v>14</v>
      </c>
      <c r="F745" s="3" t="s">
        <v>15</v>
      </c>
      <c r="G745" s="3">
        <v>70</v>
      </c>
      <c r="H745" s="4">
        <v>3888</v>
      </c>
      <c r="I745" s="4">
        <v>4000</v>
      </c>
      <c r="J745" s="3" t="s">
        <v>22</v>
      </c>
      <c r="K745" s="3" t="s">
        <v>30</v>
      </c>
      <c r="L745">
        <f t="shared" si="69"/>
        <v>2026</v>
      </c>
      <c r="M745">
        <f t="shared" si="66"/>
        <v>7</v>
      </c>
      <c r="N745" t="str">
        <f t="shared" si="67"/>
        <v>Jul</v>
      </c>
      <c r="O745" t="str">
        <f t="shared" si="68"/>
        <v>2026-07</v>
      </c>
      <c r="P745" t="str">
        <f t="shared" si="70"/>
        <v>2026-W29</v>
      </c>
      <c r="Q745" t="str">
        <f t="shared" si="71"/>
        <v>Wed</v>
      </c>
    </row>
    <row r="746" spans="1:17" x14ac:dyDescent="0.3">
      <c r="A746" s="2">
        <v>46218</v>
      </c>
      <c r="B746" s="3" t="s">
        <v>792</v>
      </c>
      <c r="C746" s="3" t="s">
        <v>32</v>
      </c>
      <c r="D746" s="3" t="s">
        <v>26</v>
      </c>
      <c r="E746" s="3" t="s">
        <v>27</v>
      </c>
      <c r="F746" s="3" t="s">
        <v>15</v>
      </c>
      <c r="G746" s="3">
        <v>111</v>
      </c>
      <c r="H746" s="4">
        <v>5962</v>
      </c>
      <c r="I746" s="4">
        <v>6100</v>
      </c>
      <c r="J746" s="3" t="s">
        <v>22</v>
      </c>
      <c r="K746" s="3" t="s">
        <v>17</v>
      </c>
      <c r="L746">
        <f t="shared" si="69"/>
        <v>2026</v>
      </c>
      <c r="M746">
        <f t="shared" si="66"/>
        <v>7</v>
      </c>
      <c r="N746" t="str">
        <f t="shared" si="67"/>
        <v>Jul</v>
      </c>
      <c r="O746" t="str">
        <f t="shared" si="68"/>
        <v>2026-07</v>
      </c>
      <c r="P746" t="str">
        <f t="shared" si="70"/>
        <v>2026-W29</v>
      </c>
      <c r="Q746" t="str">
        <f t="shared" si="71"/>
        <v>Wed</v>
      </c>
    </row>
    <row r="747" spans="1:17" x14ac:dyDescent="0.3">
      <c r="A747" s="2">
        <v>46219</v>
      </c>
      <c r="B747" s="3" t="s">
        <v>793</v>
      </c>
      <c r="C747" s="3" t="s">
        <v>50</v>
      </c>
      <c r="D747" s="3" t="s">
        <v>19</v>
      </c>
      <c r="E747" s="3" t="s">
        <v>29</v>
      </c>
      <c r="F747" s="3" t="s">
        <v>21</v>
      </c>
      <c r="G747" s="3">
        <v>44</v>
      </c>
      <c r="H747" s="4">
        <v>2271</v>
      </c>
      <c r="I747" s="4">
        <v>2000</v>
      </c>
      <c r="J747" s="3" t="s">
        <v>22</v>
      </c>
      <c r="K747" s="3" t="s">
        <v>17</v>
      </c>
      <c r="L747">
        <f t="shared" si="69"/>
        <v>2026</v>
      </c>
      <c r="M747">
        <f t="shared" si="66"/>
        <v>7</v>
      </c>
      <c r="N747" t="str">
        <f t="shared" si="67"/>
        <v>Jul</v>
      </c>
      <c r="O747" t="str">
        <f t="shared" si="68"/>
        <v>2026-07</v>
      </c>
      <c r="P747" t="str">
        <f t="shared" si="70"/>
        <v>2026-W29</v>
      </c>
      <c r="Q747" t="str">
        <f t="shared" si="71"/>
        <v>Thu</v>
      </c>
    </row>
    <row r="748" spans="1:17" x14ac:dyDescent="0.3">
      <c r="A748" s="2">
        <v>46219</v>
      </c>
      <c r="B748" s="3" t="s">
        <v>794</v>
      </c>
      <c r="C748" s="3" t="s">
        <v>43</v>
      </c>
      <c r="D748" s="3" t="s">
        <v>26</v>
      </c>
      <c r="E748" s="3" t="s">
        <v>20</v>
      </c>
      <c r="F748" s="3" t="s">
        <v>21</v>
      </c>
      <c r="G748" s="3">
        <v>27</v>
      </c>
      <c r="H748" s="4">
        <v>1081</v>
      </c>
      <c r="I748" s="4">
        <v>1200</v>
      </c>
      <c r="J748" s="3" t="s">
        <v>22</v>
      </c>
      <c r="K748" s="3" t="s">
        <v>23</v>
      </c>
      <c r="L748">
        <f t="shared" si="69"/>
        <v>2026</v>
      </c>
      <c r="M748">
        <f t="shared" si="66"/>
        <v>7</v>
      </c>
      <c r="N748" t="str">
        <f t="shared" si="67"/>
        <v>Jul</v>
      </c>
      <c r="O748" t="str">
        <f t="shared" si="68"/>
        <v>2026-07</v>
      </c>
      <c r="P748" t="str">
        <f t="shared" si="70"/>
        <v>2026-W29</v>
      </c>
      <c r="Q748" t="str">
        <f t="shared" si="71"/>
        <v>Thu</v>
      </c>
    </row>
    <row r="749" spans="1:17" x14ac:dyDescent="0.3">
      <c r="A749" s="2">
        <v>46220</v>
      </c>
      <c r="B749" s="3" t="s">
        <v>795</v>
      </c>
      <c r="C749" s="3" t="s">
        <v>38</v>
      </c>
      <c r="D749" s="3" t="s">
        <v>53</v>
      </c>
      <c r="E749" s="3" t="s">
        <v>20</v>
      </c>
      <c r="F749" s="3" t="s">
        <v>21</v>
      </c>
      <c r="G749" s="3">
        <v>110</v>
      </c>
      <c r="H749" s="4">
        <v>4723</v>
      </c>
      <c r="I749" s="4">
        <v>5200</v>
      </c>
      <c r="J749" s="3" t="s">
        <v>22</v>
      </c>
      <c r="K749" s="3" t="s">
        <v>23</v>
      </c>
      <c r="L749">
        <f t="shared" si="69"/>
        <v>2026</v>
      </c>
      <c r="M749">
        <f t="shared" si="66"/>
        <v>7</v>
      </c>
      <c r="N749" t="str">
        <f t="shared" si="67"/>
        <v>Jul</v>
      </c>
      <c r="O749" t="str">
        <f t="shared" si="68"/>
        <v>2026-07</v>
      </c>
      <c r="P749" t="str">
        <f t="shared" si="70"/>
        <v>2026-W29</v>
      </c>
      <c r="Q749" t="str">
        <f t="shared" si="71"/>
        <v>Fri</v>
      </c>
    </row>
    <row r="750" spans="1:17" x14ac:dyDescent="0.3">
      <c r="A750" s="2">
        <v>46221</v>
      </c>
      <c r="B750" s="3" t="s">
        <v>796</v>
      </c>
      <c r="C750" s="3" t="s">
        <v>43</v>
      </c>
      <c r="D750" s="3" t="s">
        <v>19</v>
      </c>
      <c r="E750" s="3" t="s">
        <v>41</v>
      </c>
      <c r="F750" s="3" t="s">
        <v>21</v>
      </c>
      <c r="G750" s="3">
        <v>109</v>
      </c>
      <c r="H750" s="4">
        <v>4157</v>
      </c>
      <c r="I750" s="4">
        <v>3600</v>
      </c>
      <c r="J750" s="3" t="s">
        <v>22</v>
      </c>
      <c r="K750" s="3" t="s">
        <v>17</v>
      </c>
      <c r="L750">
        <f t="shared" si="69"/>
        <v>2026</v>
      </c>
      <c r="M750">
        <f t="shared" si="66"/>
        <v>7</v>
      </c>
      <c r="N750" t="str">
        <f t="shared" si="67"/>
        <v>Jul</v>
      </c>
      <c r="O750" t="str">
        <f t="shared" si="68"/>
        <v>2026-07</v>
      </c>
      <c r="P750" t="str">
        <f t="shared" si="70"/>
        <v>2026-W29</v>
      </c>
      <c r="Q750" t="str">
        <f t="shared" si="71"/>
        <v>Sat</v>
      </c>
    </row>
    <row r="751" spans="1:17" x14ac:dyDescent="0.3">
      <c r="A751" s="2">
        <v>46221</v>
      </c>
      <c r="B751" s="3" t="s">
        <v>797</v>
      </c>
      <c r="C751" s="3" t="s">
        <v>91</v>
      </c>
      <c r="D751" s="3" t="s">
        <v>26</v>
      </c>
      <c r="E751" s="3" t="s">
        <v>33</v>
      </c>
      <c r="F751" s="3" t="s">
        <v>34</v>
      </c>
      <c r="G751" s="3">
        <v>89</v>
      </c>
      <c r="H751" s="4">
        <v>5909</v>
      </c>
      <c r="I751" s="4">
        <v>7300</v>
      </c>
      <c r="J751" s="3" t="s">
        <v>22</v>
      </c>
      <c r="K751" s="3" t="s">
        <v>30</v>
      </c>
      <c r="L751">
        <f t="shared" si="69"/>
        <v>2026</v>
      </c>
      <c r="M751">
        <f t="shared" si="66"/>
        <v>7</v>
      </c>
      <c r="N751" t="str">
        <f t="shared" si="67"/>
        <v>Jul</v>
      </c>
      <c r="O751" t="str">
        <f t="shared" si="68"/>
        <v>2026-07</v>
      </c>
      <c r="P751" t="str">
        <f t="shared" si="70"/>
        <v>2026-W29</v>
      </c>
      <c r="Q751" t="str">
        <f t="shared" si="71"/>
        <v>Sat</v>
      </c>
    </row>
    <row r="752" spans="1:17" x14ac:dyDescent="0.3">
      <c r="A752" s="2">
        <v>46221</v>
      </c>
      <c r="B752" s="3" t="s">
        <v>798</v>
      </c>
      <c r="C752" s="3" t="s">
        <v>50</v>
      </c>
      <c r="D752" s="3" t="s">
        <v>19</v>
      </c>
      <c r="E752" s="3" t="s">
        <v>29</v>
      </c>
      <c r="F752" s="3" t="s">
        <v>21</v>
      </c>
      <c r="G752" s="3">
        <v>29</v>
      </c>
      <c r="H752" s="4">
        <v>1161</v>
      </c>
      <c r="I752" s="4">
        <v>1300</v>
      </c>
      <c r="J752" s="3" t="s">
        <v>22</v>
      </c>
      <c r="K752" s="3" t="s">
        <v>36</v>
      </c>
      <c r="L752">
        <f t="shared" si="69"/>
        <v>2026</v>
      </c>
      <c r="M752">
        <f t="shared" si="66"/>
        <v>7</v>
      </c>
      <c r="N752" t="str">
        <f t="shared" si="67"/>
        <v>Jul</v>
      </c>
      <c r="O752" t="str">
        <f t="shared" si="68"/>
        <v>2026-07</v>
      </c>
      <c r="P752" t="str">
        <f t="shared" si="70"/>
        <v>2026-W29</v>
      </c>
      <c r="Q752" t="str">
        <f t="shared" si="71"/>
        <v>Sat</v>
      </c>
    </row>
    <row r="753" spans="1:17" x14ac:dyDescent="0.3">
      <c r="A753" s="2">
        <v>46221</v>
      </c>
      <c r="B753" s="3" t="s">
        <v>799</v>
      </c>
      <c r="C753" s="3" t="s">
        <v>50</v>
      </c>
      <c r="D753" s="3" t="s">
        <v>53</v>
      </c>
      <c r="E753" s="3" t="s">
        <v>14</v>
      </c>
      <c r="F753" s="3" t="s">
        <v>15</v>
      </c>
      <c r="G753" s="3">
        <v>71</v>
      </c>
      <c r="H753" s="4">
        <v>4909</v>
      </c>
      <c r="I753" s="4">
        <v>6000</v>
      </c>
      <c r="J753" s="3" t="s">
        <v>22</v>
      </c>
      <c r="K753" s="3" t="s">
        <v>36</v>
      </c>
      <c r="L753">
        <f t="shared" si="69"/>
        <v>2026</v>
      </c>
      <c r="M753">
        <f t="shared" si="66"/>
        <v>7</v>
      </c>
      <c r="N753" t="str">
        <f t="shared" si="67"/>
        <v>Jul</v>
      </c>
      <c r="O753" t="str">
        <f t="shared" si="68"/>
        <v>2026-07</v>
      </c>
      <c r="P753" t="str">
        <f t="shared" si="70"/>
        <v>2026-W29</v>
      </c>
      <c r="Q753" t="str">
        <f t="shared" si="71"/>
        <v>Sat</v>
      </c>
    </row>
    <row r="754" spans="1:17" x14ac:dyDescent="0.3">
      <c r="A754" s="2">
        <v>46222</v>
      </c>
      <c r="B754" s="3" t="s">
        <v>800</v>
      </c>
      <c r="C754" s="3" t="s">
        <v>43</v>
      </c>
      <c r="D754" s="3" t="s">
        <v>26</v>
      </c>
      <c r="E754" s="3" t="s">
        <v>41</v>
      </c>
      <c r="F754" s="3" t="s">
        <v>21</v>
      </c>
      <c r="G754" s="3">
        <v>28</v>
      </c>
      <c r="H754" s="4">
        <v>1318</v>
      </c>
      <c r="I754" s="4">
        <v>1100</v>
      </c>
      <c r="J754" s="3" t="s">
        <v>22</v>
      </c>
      <c r="K754" s="3" t="s">
        <v>36</v>
      </c>
      <c r="L754">
        <f t="shared" si="69"/>
        <v>2026</v>
      </c>
      <c r="M754">
        <f t="shared" si="66"/>
        <v>7</v>
      </c>
      <c r="N754" t="str">
        <f t="shared" si="67"/>
        <v>Jul</v>
      </c>
      <c r="O754" t="str">
        <f t="shared" si="68"/>
        <v>2026-07</v>
      </c>
      <c r="P754" t="str">
        <f t="shared" si="70"/>
        <v>2026-W29</v>
      </c>
      <c r="Q754" t="str">
        <f t="shared" si="71"/>
        <v>Sun</v>
      </c>
    </row>
    <row r="755" spans="1:17" x14ac:dyDescent="0.3">
      <c r="A755" s="2">
        <v>46224</v>
      </c>
      <c r="B755" s="3" t="s">
        <v>801</v>
      </c>
      <c r="C755" s="3" t="s">
        <v>57</v>
      </c>
      <c r="D755" s="3" t="s">
        <v>19</v>
      </c>
      <c r="E755" s="3" t="s">
        <v>61</v>
      </c>
      <c r="F755" s="3" t="s">
        <v>59</v>
      </c>
      <c r="G755" s="3">
        <v>95</v>
      </c>
      <c r="H755" s="4">
        <v>11292</v>
      </c>
      <c r="I755" s="4">
        <v>10200</v>
      </c>
      <c r="J755" s="3" t="s">
        <v>22</v>
      </c>
      <c r="K755" s="3" t="s">
        <v>30</v>
      </c>
      <c r="L755">
        <f t="shared" si="69"/>
        <v>2026</v>
      </c>
      <c r="M755">
        <f t="shared" si="66"/>
        <v>7</v>
      </c>
      <c r="N755" t="str">
        <f t="shared" si="67"/>
        <v>Jul</v>
      </c>
      <c r="O755" t="str">
        <f t="shared" si="68"/>
        <v>2026-07</v>
      </c>
      <c r="P755" t="str">
        <f t="shared" si="70"/>
        <v>2026-W30</v>
      </c>
      <c r="Q755" t="str">
        <f t="shared" si="71"/>
        <v>Tue</v>
      </c>
    </row>
    <row r="756" spans="1:17" x14ac:dyDescent="0.3">
      <c r="A756" s="2">
        <v>46224</v>
      </c>
      <c r="B756" s="3" t="s">
        <v>802</v>
      </c>
      <c r="C756" s="3" t="s">
        <v>57</v>
      </c>
      <c r="D756" s="3" t="s">
        <v>65</v>
      </c>
      <c r="E756" s="3" t="s">
        <v>68</v>
      </c>
      <c r="F756" s="3" t="s">
        <v>34</v>
      </c>
      <c r="G756" s="3">
        <v>42</v>
      </c>
      <c r="H756" s="4">
        <v>3290</v>
      </c>
      <c r="I756" s="4">
        <v>3600</v>
      </c>
      <c r="J756" s="3" t="s">
        <v>22</v>
      </c>
      <c r="K756" s="3" t="s">
        <v>17</v>
      </c>
      <c r="L756">
        <f t="shared" si="69"/>
        <v>2026</v>
      </c>
      <c r="M756">
        <f t="shared" si="66"/>
        <v>7</v>
      </c>
      <c r="N756" t="str">
        <f t="shared" si="67"/>
        <v>Jul</v>
      </c>
      <c r="O756" t="str">
        <f t="shared" si="68"/>
        <v>2026-07</v>
      </c>
      <c r="P756" t="str">
        <f t="shared" si="70"/>
        <v>2026-W30</v>
      </c>
      <c r="Q756" t="str">
        <f t="shared" si="71"/>
        <v>Tue</v>
      </c>
    </row>
    <row r="757" spans="1:17" x14ac:dyDescent="0.3">
      <c r="A757" s="2">
        <v>46224</v>
      </c>
      <c r="B757" s="3" t="s">
        <v>803</v>
      </c>
      <c r="C757" s="3" t="s">
        <v>25</v>
      </c>
      <c r="D757" s="3" t="s">
        <v>19</v>
      </c>
      <c r="E757" s="3" t="s">
        <v>58</v>
      </c>
      <c r="F757" s="3" t="s">
        <v>59</v>
      </c>
      <c r="G757" s="3">
        <v>20</v>
      </c>
      <c r="H757" s="4">
        <v>2061</v>
      </c>
      <c r="I757" s="4">
        <v>2100</v>
      </c>
      <c r="J757" s="3" t="s">
        <v>22</v>
      </c>
      <c r="K757" s="3" t="s">
        <v>17</v>
      </c>
      <c r="L757">
        <f t="shared" si="69"/>
        <v>2026</v>
      </c>
      <c r="M757">
        <f t="shared" si="66"/>
        <v>7</v>
      </c>
      <c r="N757" t="str">
        <f t="shared" si="67"/>
        <v>Jul</v>
      </c>
      <c r="O757" t="str">
        <f t="shared" si="68"/>
        <v>2026-07</v>
      </c>
      <c r="P757" t="str">
        <f t="shared" si="70"/>
        <v>2026-W30</v>
      </c>
      <c r="Q757" t="str">
        <f t="shared" si="71"/>
        <v>Tue</v>
      </c>
    </row>
    <row r="758" spans="1:17" x14ac:dyDescent="0.3">
      <c r="A758" s="2">
        <v>46225</v>
      </c>
      <c r="B758" s="3" t="s">
        <v>804</v>
      </c>
      <c r="C758" s="3" t="s">
        <v>43</v>
      </c>
      <c r="D758" s="3" t="s">
        <v>26</v>
      </c>
      <c r="E758" s="3" t="s">
        <v>123</v>
      </c>
      <c r="F758" s="3" t="s">
        <v>59</v>
      </c>
      <c r="G758" s="3">
        <v>116</v>
      </c>
      <c r="H758" s="4">
        <v>13715</v>
      </c>
      <c r="I758" s="4">
        <v>12100</v>
      </c>
      <c r="J758" s="3" t="s">
        <v>22</v>
      </c>
      <c r="K758" s="3" t="s">
        <v>23</v>
      </c>
      <c r="L758">
        <f t="shared" si="69"/>
        <v>2026</v>
      </c>
      <c r="M758">
        <f t="shared" si="66"/>
        <v>7</v>
      </c>
      <c r="N758" t="str">
        <f t="shared" si="67"/>
        <v>Jul</v>
      </c>
      <c r="O758" t="str">
        <f t="shared" si="68"/>
        <v>2026-07</v>
      </c>
      <c r="P758" t="str">
        <f t="shared" si="70"/>
        <v>2026-W30</v>
      </c>
      <c r="Q758" t="str">
        <f t="shared" si="71"/>
        <v>Wed</v>
      </c>
    </row>
    <row r="759" spans="1:17" x14ac:dyDescent="0.3">
      <c r="A759" s="2">
        <v>46225</v>
      </c>
      <c r="B759" s="3" t="s">
        <v>805</v>
      </c>
      <c r="C759" s="3" t="s">
        <v>43</v>
      </c>
      <c r="D759" s="3" t="s">
        <v>13</v>
      </c>
      <c r="E759" s="3" t="s">
        <v>68</v>
      </c>
      <c r="F759" s="3" t="s">
        <v>34</v>
      </c>
      <c r="G759" s="3">
        <v>28</v>
      </c>
      <c r="H759" s="4">
        <v>2057</v>
      </c>
      <c r="I759" s="4">
        <v>2600</v>
      </c>
      <c r="J759" s="3" t="s">
        <v>22</v>
      </c>
      <c r="K759" s="3" t="s">
        <v>30</v>
      </c>
      <c r="L759">
        <f t="shared" si="69"/>
        <v>2026</v>
      </c>
      <c r="M759">
        <f t="shared" si="66"/>
        <v>7</v>
      </c>
      <c r="N759" t="str">
        <f t="shared" si="67"/>
        <v>Jul</v>
      </c>
      <c r="O759" t="str">
        <f t="shared" si="68"/>
        <v>2026-07</v>
      </c>
      <c r="P759" t="str">
        <f t="shared" si="70"/>
        <v>2026-W30</v>
      </c>
      <c r="Q759" t="str">
        <f t="shared" si="71"/>
        <v>Wed</v>
      </c>
    </row>
    <row r="760" spans="1:17" x14ac:dyDescent="0.3">
      <c r="A760" s="2">
        <v>46226</v>
      </c>
      <c r="B760" s="3" t="s">
        <v>806</v>
      </c>
      <c r="C760" s="3" t="s">
        <v>57</v>
      </c>
      <c r="D760" s="3" t="s">
        <v>13</v>
      </c>
      <c r="E760" s="3" t="s">
        <v>20</v>
      </c>
      <c r="F760" s="3" t="s">
        <v>21</v>
      </c>
      <c r="G760" s="3">
        <v>92</v>
      </c>
      <c r="H760" s="4">
        <v>4267</v>
      </c>
      <c r="I760" s="4">
        <v>5300</v>
      </c>
      <c r="J760" s="3" t="s">
        <v>22</v>
      </c>
      <c r="K760" s="3" t="s">
        <v>30</v>
      </c>
      <c r="L760">
        <f t="shared" si="69"/>
        <v>2026</v>
      </c>
      <c r="M760">
        <f t="shared" si="66"/>
        <v>7</v>
      </c>
      <c r="N760" t="str">
        <f t="shared" si="67"/>
        <v>Jul</v>
      </c>
      <c r="O760" t="str">
        <f t="shared" si="68"/>
        <v>2026-07</v>
      </c>
      <c r="P760" t="str">
        <f t="shared" si="70"/>
        <v>2026-W30</v>
      </c>
      <c r="Q760" t="str">
        <f t="shared" si="71"/>
        <v>Thu</v>
      </c>
    </row>
    <row r="761" spans="1:17" x14ac:dyDescent="0.3">
      <c r="A761" s="2">
        <v>46227</v>
      </c>
      <c r="B761" s="3" t="s">
        <v>807</v>
      </c>
      <c r="C761" s="3" t="s">
        <v>12</v>
      </c>
      <c r="D761" s="3" t="s">
        <v>53</v>
      </c>
      <c r="E761" s="3" t="s">
        <v>33</v>
      </c>
      <c r="F761" s="3" t="s">
        <v>34</v>
      </c>
      <c r="G761" s="3">
        <v>25</v>
      </c>
      <c r="H761" s="4">
        <v>1914</v>
      </c>
      <c r="I761" s="4">
        <v>1600</v>
      </c>
      <c r="J761" s="3" t="s">
        <v>22</v>
      </c>
      <c r="K761" s="3" t="s">
        <v>36</v>
      </c>
      <c r="L761">
        <f t="shared" si="69"/>
        <v>2026</v>
      </c>
      <c r="M761">
        <f t="shared" si="66"/>
        <v>7</v>
      </c>
      <c r="N761" t="str">
        <f t="shared" si="67"/>
        <v>Jul</v>
      </c>
      <c r="O761" t="str">
        <f t="shared" si="68"/>
        <v>2026-07</v>
      </c>
      <c r="P761" t="str">
        <f t="shared" si="70"/>
        <v>2026-W30</v>
      </c>
      <c r="Q761" t="str">
        <f t="shared" si="71"/>
        <v>Fri</v>
      </c>
    </row>
    <row r="762" spans="1:17" x14ac:dyDescent="0.3">
      <c r="A762" s="2">
        <v>46227</v>
      </c>
      <c r="B762" s="3" t="s">
        <v>808</v>
      </c>
      <c r="C762" s="3" t="s">
        <v>91</v>
      </c>
      <c r="D762" s="3" t="s">
        <v>19</v>
      </c>
      <c r="E762" s="3" t="s">
        <v>48</v>
      </c>
      <c r="F762" s="3" t="s">
        <v>15</v>
      </c>
      <c r="G762" s="3">
        <v>5</v>
      </c>
      <c r="H762" s="4">
        <v>310</v>
      </c>
      <c r="I762" s="4">
        <v>300</v>
      </c>
      <c r="J762" s="3" t="s">
        <v>22</v>
      </c>
      <c r="K762" s="3" t="s">
        <v>23</v>
      </c>
      <c r="L762">
        <f t="shared" si="69"/>
        <v>2026</v>
      </c>
      <c r="M762">
        <f t="shared" si="66"/>
        <v>7</v>
      </c>
      <c r="N762" t="str">
        <f t="shared" si="67"/>
        <v>Jul</v>
      </c>
      <c r="O762" t="str">
        <f t="shared" si="68"/>
        <v>2026-07</v>
      </c>
      <c r="P762" t="str">
        <f t="shared" si="70"/>
        <v>2026-W30</v>
      </c>
      <c r="Q762" t="str">
        <f t="shared" si="71"/>
        <v>Fri</v>
      </c>
    </row>
    <row r="763" spans="1:17" x14ac:dyDescent="0.3">
      <c r="A763" s="2">
        <v>46227</v>
      </c>
      <c r="B763" s="3" t="s">
        <v>809</v>
      </c>
      <c r="C763" s="3" t="s">
        <v>43</v>
      </c>
      <c r="D763" s="3" t="s">
        <v>13</v>
      </c>
      <c r="E763" s="3" t="s">
        <v>68</v>
      </c>
      <c r="F763" s="3" t="s">
        <v>34</v>
      </c>
      <c r="G763" s="3">
        <v>57</v>
      </c>
      <c r="H763" s="4">
        <v>3705</v>
      </c>
      <c r="I763" s="4">
        <v>3900</v>
      </c>
      <c r="J763" s="3" t="s">
        <v>22</v>
      </c>
      <c r="K763" s="3" t="s">
        <v>36</v>
      </c>
      <c r="L763">
        <f t="shared" si="69"/>
        <v>2026</v>
      </c>
      <c r="M763">
        <f t="shared" si="66"/>
        <v>7</v>
      </c>
      <c r="N763" t="str">
        <f t="shared" si="67"/>
        <v>Jul</v>
      </c>
      <c r="O763" t="str">
        <f t="shared" si="68"/>
        <v>2026-07</v>
      </c>
      <c r="P763" t="str">
        <f t="shared" si="70"/>
        <v>2026-W30</v>
      </c>
      <c r="Q763" t="str">
        <f t="shared" si="71"/>
        <v>Fri</v>
      </c>
    </row>
    <row r="764" spans="1:17" x14ac:dyDescent="0.3">
      <c r="A764" s="2">
        <v>46228</v>
      </c>
      <c r="B764" s="3" t="s">
        <v>810</v>
      </c>
      <c r="C764" s="3" t="s">
        <v>57</v>
      </c>
      <c r="D764" s="3" t="s">
        <v>26</v>
      </c>
      <c r="E764" s="3" t="s">
        <v>20</v>
      </c>
      <c r="F764" s="3" t="s">
        <v>21</v>
      </c>
      <c r="G764" s="3">
        <v>73</v>
      </c>
      <c r="H764" s="4">
        <v>3697</v>
      </c>
      <c r="I764" s="4">
        <v>3000</v>
      </c>
      <c r="J764" s="3" t="s">
        <v>22</v>
      </c>
      <c r="K764" s="3" t="s">
        <v>30</v>
      </c>
      <c r="L764">
        <f t="shared" si="69"/>
        <v>2026</v>
      </c>
      <c r="M764">
        <f t="shared" si="66"/>
        <v>7</v>
      </c>
      <c r="N764" t="str">
        <f t="shared" si="67"/>
        <v>Jul</v>
      </c>
      <c r="O764" t="str">
        <f t="shared" si="68"/>
        <v>2026-07</v>
      </c>
      <c r="P764" t="str">
        <f t="shared" si="70"/>
        <v>2026-W30</v>
      </c>
      <c r="Q764" t="str">
        <f t="shared" si="71"/>
        <v>Sat</v>
      </c>
    </row>
    <row r="765" spans="1:17" x14ac:dyDescent="0.3">
      <c r="A765" s="2">
        <v>46228</v>
      </c>
      <c r="B765" s="3" t="s">
        <v>811</v>
      </c>
      <c r="C765" s="3" t="s">
        <v>12</v>
      </c>
      <c r="D765" s="3" t="s">
        <v>26</v>
      </c>
      <c r="E765" s="3" t="s">
        <v>27</v>
      </c>
      <c r="F765" s="3" t="s">
        <v>15</v>
      </c>
      <c r="G765" s="3">
        <v>94</v>
      </c>
      <c r="H765" s="4">
        <v>6056</v>
      </c>
      <c r="I765" s="4">
        <v>5700</v>
      </c>
      <c r="J765" s="3" t="s">
        <v>22</v>
      </c>
      <c r="K765" s="3" t="s">
        <v>36</v>
      </c>
      <c r="L765">
        <f t="shared" si="69"/>
        <v>2026</v>
      </c>
      <c r="M765">
        <f t="shared" si="66"/>
        <v>7</v>
      </c>
      <c r="N765" t="str">
        <f t="shared" si="67"/>
        <v>Jul</v>
      </c>
      <c r="O765" t="str">
        <f t="shared" si="68"/>
        <v>2026-07</v>
      </c>
      <c r="P765" t="str">
        <f t="shared" si="70"/>
        <v>2026-W30</v>
      </c>
      <c r="Q765" t="str">
        <f t="shared" si="71"/>
        <v>Sat</v>
      </c>
    </row>
    <row r="766" spans="1:17" x14ac:dyDescent="0.3">
      <c r="A766" s="2">
        <v>46228</v>
      </c>
      <c r="B766" s="3" t="s">
        <v>812</v>
      </c>
      <c r="C766" s="3" t="s">
        <v>50</v>
      </c>
      <c r="D766" s="3" t="s">
        <v>26</v>
      </c>
      <c r="E766" s="3" t="s">
        <v>29</v>
      </c>
      <c r="F766" s="3" t="s">
        <v>21</v>
      </c>
      <c r="G766" s="3">
        <v>59</v>
      </c>
      <c r="H766" s="4">
        <v>2232</v>
      </c>
      <c r="I766" s="4">
        <v>2700</v>
      </c>
      <c r="J766" s="3" t="s">
        <v>16</v>
      </c>
      <c r="K766" s="3" t="s">
        <v>30</v>
      </c>
      <c r="L766">
        <f t="shared" si="69"/>
        <v>2026</v>
      </c>
      <c r="M766">
        <f t="shared" si="66"/>
        <v>7</v>
      </c>
      <c r="N766" t="str">
        <f t="shared" si="67"/>
        <v>Jul</v>
      </c>
      <c r="O766" t="str">
        <f t="shared" si="68"/>
        <v>2026-07</v>
      </c>
      <c r="P766" t="str">
        <f t="shared" si="70"/>
        <v>2026-W30</v>
      </c>
      <c r="Q766" t="str">
        <f t="shared" si="71"/>
        <v>Sat</v>
      </c>
    </row>
    <row r="767" spans="1:17" x14ac:dyDescent="0.3">
      <c r="A767" s="2">
        <v>46229</v>
      </c>
      <c r="B767" s="3" t="s">
        <v>813</v>
      </c>
      <c r="C767" s="3" t="s">
        <v>25</v>
      </c>
      <c r="D767" s="3" t="s">
        <v>19</v>
      </c>
      <c r="E767" s="3" t="s">
        <v>27</v>
      </c>
      <c r="F767" s="3" t="s">
        <v>15</v>
      </c>
      <c r="G767" s="3">
        <v>17</v>
      </c>
      <c r="H767" s="4">
        <v>939</v>
      </c>
      <c r="I767" s="4">
        <v>1100</v>
      </c>
      <c r="J767" s="3" t="s">
        <v>22</v>
      </c>
      <c r="K767" s="3" t="s">
        <v>36</v>
      </c>
      <c r="L767">
        <f t="shared" si="69"/>
        <v>2026</v>
      </c>
      <c r="M767">
        <f t="shared" si="66"/>
        <v>7</v>
      </c>
      <c r="N767" t="str">
        <f t="shared" si="67"/>
        <v>Jul</v>
      </c>
      <c r="O767" t="str">
        <f t="shared" si="68"/>
        <v>2026-07</v>
      </c>
      <c r="P767" t="str">
        <f t="shared" si="70"/>
        <v>2026-W30</v>
      </c>
      <c r="Q767" t="str">
        <f t="shared" si="71"/>
        <v>Sun</v>
      </c>
    </row>
    <row r="768" spans="1:17" x14ac:dyDescent="0.3">
      <c r="A768" s="2">
        <v>46229</v>
      </c>
      <c r="B768" s="3" t="s">
        <v>814</v>
      </c>
      <c r="C768" s="3" t="s">
        <v>43</v>
      </c>
      <c r="D768" s="3" t="s">
        <v>26</v>
      </c>
      <c r="E768" s="3" t="s">
        <v>20</v>
      </c>
      <c r="F768" s="3" t="s">
        <v>21</v>
      </c>
      <c r="G768" s="3">
        <v>104</v>
      </c>
      <c r="H768" s="4">
        <v>4019</v>
      </c>
      <c r="I768" s="4">
        <v>5000</v>
      </c>
      <c r="J768" s="3" t="s">
        <v>22</v>
      </c>
      <c r="K768" s="3" t="s">
        <v>36</v>
      </c>
      <c r="L768">
        <f t="shared" si="69"/>
        <v>2026</v>
      </c>
      <c r="M768">
        <f t="shared" si="66"/>
        <v>7</v>
      </c>
      <c r="N768" t="str">
        <f t="shared" si="67"/>
        <v>Jul</v>
      </c>
      <c r="O768" t="str">
        <f t="shared" si="68"/>
        <v>2026-07</v>
      </c>
      <c r="P768" t="str">
        <f t="shared" si="70"/>
        <v>2026-W30</v>
      </c>
      <c r="Q768" t="str">
        <f t="shared" si="71"/>
        <v>Sun</v>
      </c>
    </row>
    <row r="769" spans="1:17" x14ac:dyDescent="0.3">
      <c r="A769" s="2">
        <v>46230</v>
      </c>
      <c r="B769" s="3" t="s">
        <v>815</v>
      </c>
      <c r="C769" s="3" t="s">
        <v>50</v>
      </c>
      <c r="D769" s="3" t="s">
        <v>26</v>
      </c>
      <c r="E769" s="3" t="s">
        <v>41</v>
      </c>
      <c r="F769" s="3" t="s">
        <v>21</v>
      </c>
      <c r="G769" s="3">
        <v>20</v>
      </c>
      <c r="H769" s="4">
        <v>974</v>
      </c>
      <c r="I769" s="4">
        <v>900</v>
      </c>
      <c r="J769" s="3" t="s">
        <v>22</v>
      </c>
      <c r="K769" s="3" t="s">
        <v>36</v>
      </c>
      <c r="L769">
        <f t="shared" si="69"/>
        <v>2026</v>
      </c>
      <c r="M769">
        <f t="shared" si="66"/>
        <v>7</v>
      </c>
      <c r="N769" t="str">
        <f t="shared" si="67"/>
        <v>Jul</v>
      </c>
      <c r="O769" t="str">
        <f t="shared" si="68"/>
        <v>2026-07</v>
      </c>
      <c r="P769" t="str">
        <f t="shared" si="70"/>
        <v>2026-W31</v>
      </c>
      <c r="Q769" t="str">
        <f t="shared" si="71"/>
        <v>Mon</v>
      </c>
    </row>
    <row r="770" spans="1:17" x14ac:dyDescent="0.3">
      <c r="A770" s="2">
        <v>46230</v>
      </c>
      <c r="B770" s="3" t="s">
        <v>816</v>
      </c>
      <c r="C770" s="3" t="s">
        <v>32</v>
      </c>
      <c r="D770" s="3" t="s">
        <v>65</v>
      </c>
      <c r="E770" s="3" t="s">
        <v>41</v>
      </c>
      <c r="F770" s="3" t="s">
        <v>21</v>
      </c>
      <c r="G770" s="3">
        <v>77</v>
      </c>
      <c r="H770" s="4">
        <v>3109</v>
      </c>
      <c r="I770" s="4">
        <v>3500</v>
      </c>
      <c r="J770" s="3" t="s">
        <v>22</v>
      </c>
      <c r="K770" s="3" t="s">
        <v>30</v>
      </c>
      <c r="L770">
        <f t="shared" si="69"/>
        <v>2026</v>
      </c>
      <c r="M770">
        <f t="shared" ref="M770:M833" si="72">MONTH($A770)</f>
        <v>7</v>
      </c>
      <c r="N770" t="str">
        <f t="shared" ref="N770:N833" si="73">TEXT($A770,"mmm")</f>
        <v>Jul</v>
      </c>
      <c r="O770" t="str">
        <f t="shared" ref="O770:O833" si="74">YEAR($A770)&amp;"-"&amp;TEXT(MONTH($A770),"00")</f>
        <v>2026-07</v>
      </c>
      <c r="P770" t="str">
        <f t="shared" si="70"/>
        <v>2026-W31</v>
      </c>
      <c r="Q770" t="str">
        <f t="shared" si="71"/>
        <v>Mon</v>
      </c>
    </row>
    <row r="771" spans="1:17" x14ac:dyDescent="0.3">
      <c r="A771" s="2">
        <v>46231</v>
      </c>
      <c r="B771" s="3" t="s">
        <v>817</v>
      </c>
      <c r="C771" s="3" t="s">
        <v>12</v>
      </c>
      <c r="D771" s="3" t="s">
        <v>13</v>
      </c>
      <c r="E771" s="3" t="s">
        <v>44</v>
      </c>
      <c r="F771" s="3" t="s">
        <v>34</v>
      </c>
      <c r="G771" s="3">
        <v>47</v>
      </c>
      <c r="H771" s="4">
        <v>3395</v>
      </c>
      <c r="I771" s="4">
        <v>4000</v>
      </c>
      <c r="J771" s="3" t="s">
        <v>22</v>
      </c>
      <c r="K771" s="3" t="s">
        <v>23</v>
      </c>
      <c r="L771">
        <f t="shared" ref="L771:L834" si="75">YEAR($A771)</f>
        <v>2026</v>
      </c>
      <c r="M771">
        <f t="shared" si="72"/>
        <v>7</v>
      </c>
      <c r="N771" t="str">
        <f t="shared" si="73"/>
        <v>Jul</v>
      </c>
      <c r="O771" t="str">
        <f t="shared" si="74"/>
        <v>2026-07</v>
      </c>
      <c r="P771" t="str">
        <f t="shared" ref="P771:P834" si="76">YEAR($A771)&amp;"-W"&amp;TEXT(WEEKNUM($A771,2),"00")</f>
        <v>2026-W31</v>
      </c>
      <c r="Q771" t="str">
        <f t="shared" ref="Q771:Q834" si="77">CHOOSE(WEEKDAY($A771,2),"Mon","Tue","Wed","Thu","Fri","Sat","Sun")</f>
        <v>Tue</v>
      </c>
    </row>
    <row r="772" spans="1:17" x14ac:dyDescent="0.3">
      <c r="A772" s="2">
        <v>46231</v>
      </c>
      <c r="B772" s="3" t="s">
        <v>818</v>
      </c>
      <c r="C772" s="3" t="s">
        <v>38</v>
      </c>
      <c r="D772" s="3" t="s">
        <v>53</v>
      </c>
      <c r="E772" s="3" t="s">
        <v>44</v>
      </c>
      <c r="F772" s="3" t="s">
        <v>34</v>
      </c>
      <c r="G772" s="3">
        <v>71</v>
      </c>
      <c r="H772" s="4">
        <v>4169</v>
      </c>
      <c r="I772" s="4">
        <v>4600</v>
      </c>
      <c r="J772" s="3" t="s">
        <v>39</v>
      </c>
      <c r="K772" s="3" t="s">
        <v>36</v>
      </c>
      <c r="L772">
        <f t="shared" si="75"/>
        <v>2026</v>
      </c>
      <c r="M772">
        <f t="shared" si="72"/>
        <v>7</v>
      </c>
      <c r="N772" t="str">
        <f t="shared" si="73"/>
        <v>Jul</v>
      </c>
      <c r="O772" t="str">
        <f t="shared" si="74"/>
        <v>2026-07</v>
      </c>
      <c r="P772" t="str">
        <f t="shared" si="76"/>
        <v>2026-W31</v>
      </c>
      <c r="Q772" t="str">
        <f t="shared" si="77"/>
        <v>Tue</v>
      </c>
    </row>
    <row r="773" spans="1:17" x14ac:dyDescent="0.3">
      <c r="A773" s="2">
        <v>46231</v>
      </c>
      <c r="B773" s="3" t="s">
        <v>819</v>
      </c>
      <c r="C773" s="3" t="s">
        <v>50</v>
      </c>
      <c r="D773" s="3" t="s">
        <v>26</v>
      </c>
      <c r="E773" s="3" t="s">
        <v>61</v>
      </c>
      <c r="F773" s="3" t="s">
        <v>59</v>
      </c>
      <c r="G773" s="3">
        <v>18</v>
      </c>
      <c r="H773" s="4">
        <v>2427</v>
      </c>
      <c r="I773" s="4">
        <v>2100</v>
      </c>
      <c r="J773" s="3" t="s">
        <v>22</v>
      </c>
      <c r="K773" s="3" t="s">
        <v>36</v>
      </c>
      <c r="L773">
        <f t="shared" si="75"/>
        <v>2026</v>
      </c>
      <c r="M773">
        <f t="shared" si="72"/>
        <v>7</v>
      </c>
      <c r="N773" t="str">
        <f t="shared" si="73"/>
        <v>Jul</v>
      </c>
      <c r="O773" t="str">
        <f t="shared" si="74"/>
        <v>2026-07</v>
      </c>
      <c r="P773" t="str">
        <f t="shared" si="76"/>
        <v>2026-W31</v>
      </c>
      <c r="Q773" t="str">
        <f t="shared" si="77"/>
        <v>Tue</v>
      </c>
    </row>
    <row r="774" spans="1:17" x14ac:dyDescent="0.3">
      <c r="A774" s="2">
        <v>46231</v>
      </c>
      <c r="B774" s="3" t="s">
        <v>820</v>
      </c>
      <c r="C774" s="3" t="s">
        <v>91</v>
      </c>
      <c r="D774" s="3" t="s">
        <v>53</v>
      </c>
      <c r="E774" s="3" t="s">
        <v>48</v>
      </c>
      <c r="F774" s="3" t="s">
        <v>15</v>
      </c>
      <c r="G774" s="3">
        <v>29</v>
      </c>
      <c r="H774" s="4">
        <v>1581</v>
      </c>
      <c r="I774" s="4">
        <v>1800</v>
      </c>
      <c r="J774" s="3" t="s">
        <v>22</v>
      </c>
      <c r="K774" s="3" t="s">
        <v>30</v>
      </c>
      <c r="L774">
        <f t="shared" si="75"/>
        <v>2026</v>
      </c>
      <c r="M774">
        <f t="shared" si="72"/>
        <v>7</v>
      </c>
      <c r="N774" t="str">
        <f t="shared" si="73"/>
        <v>Jul</v>
      </c>
      <c r="O774" t="str">
        <f t="shared" si="74"/>
        <v>2026-07</v>
      </c>
      <c r="P774" t="str">
        <f t="shared" si="76"/>
        <v>2026-W31</v>
      </c>
      <c r="Q774" t="str">
        <f t="shared" si="77"/>
        <v>Tue</v>
      </c>
    </row>
    <row r="775" spans="1:17" x14ac:dyDescent="0.3">
      <c r="A775" s="2">
        <v>46232</v>
      </c>
      <c r="B775" s="3" t="s">
        <v>821</v>
      </c>
      <c r="C775" s="3" t="s">
        <v>12</v>
      </c>
      <c r="D775" s="3" t="s">
        <v>26</v>
      </c>
      <c r="E775" s="3" t="s">
        <v>48</v>
      </c>
      <c r="F775" s="3" t="s">
        <v>15</v>
      </c>
      <c r="G775" s="3">
        <v>100</v>
      </c>
      <c r="H775" s="4">
        <v>6674</v>
      </c>
      <c r="I775" s="4">
        <v>7800</v>
      </c>
      <c r="J775" s="3" t="s">
        <v>22</v>
      </c>
      <c r="K775" s="3" t="s">
        <v>36</v>
      </c>
      <c r="L775">
        <f t="shared" si="75"/>
        <v>2026</v>
      </c>
      <c r="M775">
        <f t="shared" si="72"/>
        <v>7</v>
      </c>
      <c r="N775" t="str">
        <f t="shared" si="73"/>
        <v>Jul</v>
      </c>
      <c r="O775" t="str">
        <f t="shared" si="74"/>
        <v>2026-07</v>
      </c>
      <c r="P775" t="str">
        <f t="shared" si="76"/>
        <v>2026-W31</v>
      </c>
      <c r="Q775" t="str">
        <f t="shared" si="77"/>
        <v>Wed</v>
      </c>
    </row>
    <row r="776" spans="1:17" x14ac:dyDescent="0.3">
      <c r="A776" s="2">
        <v>46232</v>
      </c>
      <c r="B776" s="3" t="s">
        <v>822</v>
      </c>
      <c r="C776" s="3" t="s">
        <v>12</v>
      </c>
      <c r="D776" s="3" t="s">
        <v>53</v>
      </c>
      <c r="E776" s="3" t="s">
        <v>123</v>
      </c>
      <c r="F776" s="3" t="s">
        <v>59</v>
      </c>
      <c r="G776" s="3">
        <v>15</v>
      </c>
      <c r="H776" s="4">
        <v>1523</v>
      </c>
      <c r="I776" s="4">
        <v>1200</v>
      </c>
      <c r="J776" s="3" t="s">
        <v>22</v>
      </c>
      <c r="K776" s="3" t="s">
        <v>36</v>
      </c>
      <c r="L776">
        <f t="shared" si="75"/>
        <v>2026</v>
      </c>
      <c r="M776">
        <f t="shared" si="72"/>
        <v>7</v>
      </c>
      <c r="N776" t="str">
        <f t="shared" si="73"/>
        <v>Jul</v>
      </c>
      <c r="O776" t="str">
        <f t="shared" si="74"/>
        <v>2026-07</v>
      </c>
      <c r="P776" t="str">
        <f t="shared" si="76"/>
        <v>2026-W31</v>
      </c>
      <c r="Q776" t="str">
        <f t="shared" si="77"/>
        <v>Wed</v>
      </c>
    </row>
    <row r="777" spans="1:17" x14ac:dyDescent="0.3">
      <c r="A777" s="2">
        <v>46232</v>
      </c>
      <c r="B777" s="3" t="s">
        <v>823</v>
      </c>
      <c r="C777" s="3" t="s">
        <v>12</v>
      </c>
      <c r="D777" s="3" t="s">
        <v>47</v>
      </c>
      <c r="E777" s="3" t="s">
        <v>14</v>
      </c>
      <c r="F777" s="3" t="s">
        <v>15</v>
      </c>
      <c r="G777" s="3">
        <v>34</v>
      </c>
      <c r="H777" s="4">
        <v>1945</v>
      </c>
      <c r="I777" s="4">
        <v>1900</v>
      </c>
      <c r="J777" s="3" t="s">
        <v>22</v>
      </c>
      <c r="K777" s="3" t="s">
        <v>30</v>
      </c>
      <c r="L777">
        <f t="shared" si="75"/>
        <v>2026</v>
      </c>
      <c r="M777">
        <f t="shared" si="72"/>
        <v>7</v>
      </c>
      <c r="N777" t="str">
        <f t="shared" si="73"/>
        <v>Jul</v>
      </c>
      <c r="O777" t="str">
        <f t="shared" si="74"/>
        <v>2026-07</v>
      </c>
      <c r="P777" t="str">
        <f t="shared" si="76"/>
        <v>2026-W31</v>
      </c>
      <c r="Q777" t="str">
        <f t="shared" si="77"/>
        <v>Wed</v>
      </c>
    </row>
    <row r="778" spans="1:17" x14ac:dyDescent="0.3">
      <c r="A778" s="2">
        <v>46232</v>
      </c>
      <c r="B778" s="3" t="s">
        <v>824</v>
      </c>
      <c r="C778" s="3" t="s">
        <v>12</v>
      </c>
      <c r="D778" s="3" t="s">
        <v>65</v>
      </c>
      <c r="E778" s="3" t="s">
        <v>14</v>
      </c>
      <c r="F778" s="3" t="s">
        <v>15</v>
      </c>
      <c r="G778" s="3">
        <v>76</v>
      </c>
      <c r="H778" s="4">
        <v>4013</v>
      </c>
      <c r="I778" s="4">
        <v>3700</v>
      </c>
      <c r="J778" s="3" t="s">
        <v>39</v>
      </c>
      <c r="K778" s="3" t="s">
        <v>30</v>
      </c>
      <c r="L778">
        <f t="shared" si="75"/>
        <v>2026</v>
      </c>
      <c r="M778">
        <f t="shared" si="72"/>
        <v>7</v>
      </c>
      <c r="N778" t="str">
        <f t="shared" si="73"/>
        <v>Jul</v>
      </c>
      <c r="O778" t="str">
        <f t="shared" si="74"/>
        <v>2026-07</v>
      </c>
      <c r="P778" t="str">
        <f t="shared" si="76"/>
        <v>2026-W31</v>
      </c>
      <c r="Q778" t="str">
        <f t="shared" si="77"/>
        <v>Wed</v>
      </c>
    </row>
    <row r="779" spans="1:17" x14ac:dyDescent="0.3">
      <c r="A779" s="2">
        <v>46232</v>
      </c>
      <c r="B779" s="3" t="s">
        <v>825</v>
      </c>
      <c r="C779" s="3" t="s">
        <v>43</v>
      </c>
      <c r="D779" s="3" t="s">
        <v>47</v>
      </c>
      <c r="E779" s="3" t="s">
        <v>14</v>
      </c>
      <c r="F779" s="3" t="s">
        <v>15</v>
      </c>
      <c r="G779" s="3">
        <v>79</v>
      </c>
      <c r="H779" s="4">
        <v>4840</v>
      </c>
      <c r="I779" s="4">
        <v>4600</v>
      </c>
      <c r="J779" s="3" t="s">
        <v>22</v>
      </c>
      <c r="K779" s="3" t="s">
        <v>36</v>
      </c>
      <c r="L779">
        <f t="shared" si="75"/>
        <v>2026</v>
      </c>
      <c r="M779">
        <f t="shared" si="72"/>
        <v>7</v>
      </c>
      <c r="N779" t="str">
        <f t="shared" si="73"/>
        <v>Jul</v>
      </c>
      <c r="O779" t="str">
        <f t="shared" si="74"/>
        <v>2026-07</v>
      </c>
      <c r="P779" t="str">
        <f t="shared" si="76"/>
        <v>2026-W31</v>
      </c>
      <c r="Q779" t="str">
        <f t="shared" si="77"/>
        <v>Wed</v>
      </c>
    </row>
    <row r="780" spans="1:17" x14ac:dyDescent="0.3">
      <c r="A780" s="2">
        <v>46232</v>
      </c>
      <c r="B780" s="3" t="s">
        <v>826</v>
      </c>
      <c r="C780" s="3" t="s">
        <v>57</v>
      </c>
      <c r="D780" s="3" t="s">
        <v>47</v>
      </c>
      <c r="E780" s="3" t="s">
        <v>20</v>
      </c>
      <c r="F780" s="3" t="s">
        <v>21</v>
      </c>
      <c r="G780" s="3">
        <v>105</v>
      </c>
      <c r="H780" s="4">
        <v>4676</v>
      </c>
      <c r="I780" s="4">
        <v>4600</v>
      </c>
      <c r="J780" s="3" t="s">
        <v>22</v>
      </c>
      <c r="K780" s="3" t="s">
        <v>36</v>
      </c>
      <c r="L780">
        <f t="shared" si="75"/>
        <v>2026</v>
      </c>
      <c r="M780">
        <f t="shared" si="72"/>
        <v>7</v>
      </c>
      <c r="N780" t="str">
        <f t="shared" si="73"/>
        <v>Jul</v>
      </c>
      <c r="O780" t="str">
        <f t="shared" si="74"/>
        <v>2026-07</v>
      </c>
      <c r="P780" t="str">
        <f t="shared" si="76"/>
        <v>2026-W31</v>
      </c>
      <c r="Q780" t="str">
        <f t="shared" si="77"/>
        <v>Wed</v>
      </c>
    </row>
    <row r="781" spans="1:17" x14ac:dyDescent="0.3">
      <c r="A781" s="2">
        <v>46232</v>
      </c>
      <c r="B781" s="3" t="s">
        <v>827</v>
      </c>
      <c r="C781" s="3" t="s">
        <v>57</v>
      </c>
      <c r="D781" s="3" t="s">
        <v>13</v>
      </c>
      <c r="E781" s="3" t="s">
        <v>27</v>
      </c>
      <c r="F781" s="3" t="s">
        <v>15</v>
      </c>
      <c r="G781" s="3">
        <v>106</v>
      </c>
      <c r="H781" s="4">
        <v>5618</v>
      </c>
      <c r="I781" s="4">
        <v>4500</v>
      </c>
      <c r="J781" s="3" t="s">
        <v>22</v>
      </c>
      <c r="K781" s="3" t="s">
        <v>23</v>
      </c>
      <c r="L781">
        <f t="shared" si="75"/>
        <v>2026</v>
      </c>
      <c r="M781">
        <f t="shared" si="72"/>
        <v>7</v>
      </c>
      <c r="N781" t="str">
        <f t="shared" si="73"/>
        <v>Jul</v>
      </c>
      <c r="O781" t="str">
        <f t="shared" si="74"/>
        <v>2026-07</v>
      </c>
      <c r="P781" t="str">
        <f t="shared" si="76"/>
        <v>2026-W31</v>
      </c>
      <c r="Q781" t="str">
        <f t="shared" si="77"/>
        <v>Wed</v>
      </c>
    </row>
    <row r="782" spans="1:17" x14ac:dyDescent="0.3">
      <c r="A782" s="2">
        <v>46233</v>
      </c>
      <c r="B782" s="3" t="s">
        <v>828</v>
      </c>
      <c r="C782" s="3" t="s">
        <v>57</v>
      </c>
      <c r="D782" s="3" t="s">
        <v>19</v>
      </c>
      <c r="E782" s="3" t="s">
        <v>68</v>
      </c>
      <c r="F782" s="3" t="s">
        <v>34</v>
      </c>
      <c r="G782" s="3">
        <v>30</v>
      </c>
      <c r="H782" s="4">
        <v>2065</v>
      </c>
      <c r="I782" s="4">
        <v>2500</v>
      </c>
      <c r="J782" s="3" t="s">
        <v>22</v>
      </c>
      <c r="K782" s="3" t="s">
        <v>30</v>
      </c>
      <c r="L782">
        <f t="shared" si="75"/>
        <v>2026</v>
      </c>
      <c r="M782">
        <f t="shared" si="72"/>
        <v>7</v>
      </c>
      <c r="N782" t="str">
        <f t="shared" si="73"/>
        <v>Jul</v>
      </c>
      <c r="O782" t="str">
        <f t="shared" si="74"/>
        <v>2026-07</v>
      </c>
      <c r="P782" t="str">
        <f t="shared" si="76"/>
        <v>2026-W31</v>
      </c>
      <c r="Q782" t="str">
        <f t="shared" si="77"/>
        <v>Thu</v>
      </c>
    </row>
    <row r="783" spans="1:17" x14ac:dyDescent="0.3">
      <c r="A783" s="2">
        <v>46234</v>
      </c>
      <c r="B783" s="3" t="s">
        <v>829</v>
      </c>
      <c r="C783" s="3" t="s">
        <v>32</v>
      </c>
      <c r="D783" s="3" t="s">
        <v>47</v>
      </c>
      <c r="E783" s="3" t="s">
        <v>68</v>
      </c>
      <c r="F783" s="3" t="s">
        <v>34</v>
      </c>
      <c r="G783" s="3">
        <v>63</v>
      </c>
      <c r="H783" s="4">
        <v>4441</v>
      </c>
      <c r="I783" s="4">
        <v>5000</v>
      </c>
      <c r="J783" s="3" t="s">
        <v>22</v>
      </c>
      <c r="K783" s="3" t="s">
        <v>36</v>
      </c>
      <c r="L783">
        <f t="shared" si="75"/>
        <v>2026</v>
      </c>
      <c r="M783">
        <f t="shared" si="72"/>
        <v>7</v>
      </c>
      <c r="N783" t="str">
        <f t="shared" si="73"/>
        <v>Jul</v>
      </c>
      <c r="O783" t="str">
        <f t="shared" si="74"/>
        <v>2026-07</v>
      </c>
      <c r="P783" t="str">
        <f t="shared" si="76"/>
        <v>2026-W31</v>
      </c>
      <c r="Q783" t="str">
        <f t="shared" si="77"/>
        <v>Fri</v>
      </c>
    </row>
    <row r="784" spans="1:17" x14ac:dyDescent="0.3">
      <c r="A784" s="2">
        <v>46235</v>
      </c>
      <c r="B784" s="3" t="s">
        <v>830</v>
      </c>
      <c r="C784" s="3" t="s">
        <v>32</v>
      </c>
      <c r="D784" s="3" t="s">
        <v>26</v>
      </c>
      <c r="E784" s="3" t="s">
        <v>29</v>
      </c>
      <c r="F784" s="3" t="s">
        <v>21</v>
      </c>
      <c r="G784" s="3">
        <v>46</v>
      </c>
      <c r="H784" s="4">
        <v>2406</v>
      </c>
      <c r="I784" s="4">
        <v>2500</v>
      </c>
      <c r="J784" s="3" t="s">
        <v>22</v>
      </c>
      <c r="K784" s="3" t="s">
        <v>30</v>
      </c>
      <c r="L784">
        <f t="shared" si="75"/>
        <v>2026</v>
      </c>
      <c r="M784">
        <f t="shared" si="72"/>
        <v>8</v>
      </c>
      <c r="N784" t="str">
        <f t="shared" si="73"/>
        <v>Aug</v>
      </c>
      <c r="O784" t="str">
        <f t="shared" si="74"/>
        <v>2026-08</v>
      </c>
      <c r="P784" t="str">
        <f t="shared" si="76"/>
        <v>2026-W31</v>
      </c>
      <c r="Q784" t="str">
        <f t="shared" si="77"/>
        <v>Sat</v>
      </c>
    </row>
    <row r="785" spans="1:17" x14ac:dyDescent="0.3">
      <c r="A785" s="2">
        <v>46235</v>
      </c>
      <c r="B785" s="3" t="s">
        <v>831</v>
      </c>
      <c r="C785" s="3" t="s">
        <v>12</v>
      </c>
      <c r="D785" s="3" t="s">
        <v>65</v>
      </c>
      <c r="E785" s="3" t="s">
        <v>41</v>
      </c>
      <c r="F785" s="3" t="s">
        <v>21</v>
      </c>
      <c r="G785" s="3">
        <v>32</v>
      </c>
      <c r="H785" s="4">
        <v>1697</v>
      </c>
      <c r="I785" s="4">
        <v>1700</v>
      </c>
      <c r="J785" s="3" t="s">
        <v>39</v>
      </c>
      <c r="K785" s="3" t="s">
        <v>36</v>
      </c>
      <c r="L785">
        <f t="shared" si="75"/>
        <v>2026</v>
      </c>
      <c r="M785">
        <f t="shared" si="72"/>
        <v>8</v>
      </c>
      <c r="N785" t="str">
        <f t="shared" si="73"/>
        <v>Aug</v>
      </c>
      <c r="O785" t="str">
        <f t="shared" si="74"/>
        <v>2026-08</v>
      </c>
      <c r="P785" t="str">
        <f t="shared" si="76"/>
        <v>2026-W31</v>
      </c>
      <c r="Q785" t="str">
        <f t="shared" si="77"/>
        <v>Sat</v>
      </c>
    </row>
    <row r="786" spans="1:17" x14ac:dyDescent="0.3">
      <c r="A786" s="2">
        <v>46236</v>
      </c>
      <c r="B786" s="3" t="s">
        <v>832</v>
      </c>
      <c r="C786" s="3" t="s">
        <v>43</v>
      </c>
      <c r="D786" s="3" t="s">
        <v>19</v>
      </c>
      <c r="E786" s="3" t="s">
        <v>29</v>
      </c>
      <c r="F786" s="3" t="s">
        <v>21</v>
      </c>
      <c r="G786" s="3">
        <v>92</v>
      </c>
      <c r="H786" s="4">
        <v>4253</v>
      </c>
      <c r="I786" s="4">
        <v>4600</v>
      </c>
      <c r="J786" s="3" t="s">
        <v>16</v>
      </c>
      <c r="K786" s="3" t="s">
        <v>36</v>
      </c>
      <c r="L786">
        <f t="shared" si="75"/>
        <v>2026</v>
      </c>
      <c r="M786">
        <f t="shared" si="72"/>
        <v>8</v>
      </c>
      <c r="N786" t="str">
        <f t="shared" si="73"/>
        <v>Aug</v>
      </c>
      <c r="O786" t="str">
        <f t="shared" si="74"/>
        <v>2026-08</v>
      </c>
      <c r="P786" t="str">
        <f t="shared" si="76"/>
        <v>2026-W31</v>
      </c>
      <c r="Q786" t="str">
        <f t="shared" si="77"/>
        <v>Sun</v>
      </c>
    </row>
    <row r="787" spans="1:17" x14ac:dyDescent="0.3">
      <c r="A787" s="2">
        <v>46236</v>
      </c>
      <c r="B787" s="3" t="s">
        <v>833</v>
      </c>
      <c r="C787" s="3" t="s">
        <v>50</v>
      </c>
      <c r="D787" s="3" t="s">
        <v>19</v>
      </c>
      <c r="E787" s="3" t="s">
        <v>20</v>
      </c>
      <c r="F787" s="3" t="s">
        <v>21</v>
      </c>
      <c r="G787" s="3">
        <v>36</v>
      </c>
      <c r="H787" s="4">
        <v>1760</v>
      </c>
      <c r="I787" s="4">
        <v>1700</v>
      </c>
      <c r="J787" s="3" t="s">
        <v>22</v>
      </c>
      <c r="K787" s="3" t="s">
        <v>30</v>
      </c>
      <c r="L787">
        <f t="shared" si="75"/>
        <v>2026</v>
      </c>
      <c r="M787">
        <f t="shared" si="72"/>
        <v>8</v>
      </c>
      <c r="N787" t="str">
        <f t="shared" si="73"/>
        <v>Aug</v>
      </c>
      <c r="O787" t="str">
        <f t="shared" si="74"/>
        <v>2026-08</v>
      </c>
      <c r="P787" t="str">
        <f t="shared" si="76"/>
        <v>2026-W31</v>
      </c>
      <c r="Q787" t="str">
        <f t="shared" si="77"/>
        <v>Sun</v>
      </c>
    </row>
    <row r="788" spans="1:17" x14ac:dyDescent="0.3">
      <c r="A788" s="2">
        <v>46237</v>
      </c>
      <c r="B788" s="3" t="s">
        <v>834</v>
      </c>
      <c r="C788" s="3" t="s">
        <v>57</v>
      </c>
      <c r="D788" s="3" t="s">
        <v>19</v>
      </c>
      <c r="E788" s="3" t="s">
        <v>44</v>
      </c>
      <c r="F788" s="3" t="s">
        <v>34</v>
      </c>
      <c r="G788" s="3">
        <v>59</v>
      </c>
      <c r="H788" s="4">
        <v>4021</v>
      </c>
      <c r="I788" s="4">
        <v>3800</v>
      </c>
      <c r="J788" s="3" t="s">
        <v>22</v>
      </c>
      <c r="K788" s="3" t="s">
        <v>36</v>
      </c>
      <c r="L788">
        <f t="shared" si="75"/>
        <v>2026</v>
      </c>
      <c r="M788">
        <f t="shared" si="72"/>
        <v>8</v>
      </c>
      <c r="N788" t="str">
        <f t="shared" si="73"/>
        <v>Aug</v>
      </c>
      <c r="O788" t="str">
        <f t="shared" si="74"/>
        <v>2026-08</v>
      </c>
      <c r="P788" t="str">
        <f t="shared" si="76"/>
        <v>2026-W32</v>
      </c>
      <c r="Q788" t="str">
        <f t="shared" si="77"/>
        <v>Mon</v>
      </c>
    </row>
    <row r="789" spans="1:17" x14ac:dyDescent="0.3">
      <c r="A789" s="2">
        <v>46237</v>
      </c>
      <c r="B789" s="3" t="s">
        <v>835</v>
      </c>
      <c r="C789" s="3" t="s">
        <v>32</v>
      </c>
      <c r="D789" s="3" t="s">
        <v>19</v>
      </c>
      <c r="E789" s="3" t="s">
        <v>123</v>
      </c>
      <c r="F789" s="3" t="s">
        <v>59</v>
      </c>
      <c r="G789" s="3">
        <v>56</v>
      </c>
      <c r="H789" s="4">
        <v>7408</v>
      </c>
      <c r="I789" s="4">
        <v>6400</v>
      </c>
      <c r="J789" s="3" t="s">
        <v>22</v>
      </c>
      <c r="K789" s="3" t="s">
        <v>17</v>
      </c>
      <c r="L789">
        <f t="shared" si="75"/>
        <v>2026</v>
      </c>
      <c r="M789">
        <f t="shared" si="72"/>
        <v>8</v>
      </c>
      <c r="N789" t="str">
        <f t="shared" si="73"/>
        <v>Aug</v>
      </c>
      <c r="O789" t="str">
        <f t="shared" si="74"/>
        <v>2026-08</v>
      </c>
      <c r="P789" t="str">
        <f t="shared" si="76"/>
        <v>2026-W32</v>
      </c>
      <c r="Q789" t="str">
        <f t="shared" si="77"/>
        <v>Mon</v>
      </c>
    </row>
    <row r="790" spans="1:17" x14ac:dyDescent="0.3">
      <c r="A790" s="2">
        <v>46237</v>
      </c>
      <c r="B790" s="3" t="s">
        <v>836</v>
      </c>
      <c r="C790" s="3" t="s">
        <v>25</v>
      </c>
      <c r="D790" s="3" t="s">
        <v>65</v>
      </c>
      <c r="E790" s="3" t="s">
        <v>29</v>
      </c>
      <c r="F790" s="3" t="s">
        <v>21</v>
      </c>
      <c r="G790" s="3">
        <v>95</v>
      </c>
      <c r="H790" s="4">
        <v>3994</v>
      </c>
      <c r="I790" s="4">
        <v>3700</v>
      </c>
      <c r="J790" s="3" t="s">
        <v>22</v>
      </c>
      <c r="K790" s="3" t="s">
        <v>36</v>
      </c>
      <c r="L790">
        <f t="shared" si="75"/>
        <v>2026</v>
      </c>
      <c r="M790">
        <f t="shared" si="72"/>
        <v>8</v>
      </c>
      <c r="N790" t="str">
        <f t="shared" si="73"/>
        <v>Aug</v>
      </c>
      <c r="O790" t="str">
        <f t="shared" si="74"/>
        <v>2026-08</v>
      </c>
      <c r="P790" t="str">
        <f t="shared" si="76"/>
        <v>2026-W32</v>
      </c>
      <c r="Q790" t="str">
        <f t="shared" si="77"/>
        <v>Mon</v>
      </c>
    </row>
    <row r="791" spans="1:17" x14ac:dyDescent="0.3">
      <c r="A791" s="2">
        <v>46238</v>
      </c>
      <c r="B791" s="3" t="s">
        <v>837</v>
      </c>
      <c r="C791" s="3" t="s">
        <v>32</v>
      </c>
      <c r="D791" s="3" t="s">
        <v>53</v>
      </c>
      <c r="E791" s="3" t="s">
        <v>14</v>
      </c>
      <c r="F791" s="3" t="s">
        <v>15</v>
      </c>
      <c r="G791" s="3">
        <v>106</v>
      </c>
      <c r="H791" s="4">
        <v>5779</v>
      </c>
      <c r="I791" s="4">
        <v>6500</v>
      </c>
      <c r="J791" s="3" t="s">
        <v>22</v>
      </c>
      <c r="K791" s="3" t="s">
        <v>30</v>
      </c>
      <c r="L791">
        <f t="shared" si="75"/>
        <v>2026</v>
      </c>
      <c r="M791">
        <f t="shared" si="72"/>
        <v>8</v>
      </c>
      <c r="N791" t="str">
        <f t="shared" si="73"/>
        <v>Aug</v>
      </c>
      <c r="O791" t="str">
        <f t="shared" si="74"/>
        <v>2026-08</v>
      </c>
      <c r="P791" t="str">
        <f t="shared" si="76"/>
        <v>2026-W32</v>
      </c>
      <c r="Q791" t="str">
        <f t="shared" si="77"/>
        <v>Tue</v>
      </c>
    </row>
    <row r="792" spans="1:17" x14ac:dyDescent="0.3">
      <c r="A792" s="2">
        <v>46238</v>
      </c>
      <c r="B792" s="3" t="s">
        <v>838</v>
      </c>
      <c r="C792" s="3" t="s">
        <v>50</v>
      </c>
      <c r="D792" s="3" t="s">
        <v>26</v>
      </c>
      <c r="E792" s="3" t="s">
        <v>48</v>
      </c>
      <c r="F792" s="3" t="s">
        <v>15</v>
      </c>
      <c r="G792" s="3">
        <v>24</v>
      </c>
      <c r="H792" s="4">
        <v>1714</v>
      </c>
      <c r="I792" s="4">
        <v>1900</v>
      </c>
      <c r="J792" s="3" t="s">
        <v>22</v>
      </c>
      <c r="K792" s="3" t="s">
        <v>30</v>
      </c>
      <c r="L792">
        <f t="shared" si="75"/>
        <v>2026</v>
      </c>
      <c r="M792">
        <f t="shared" si="72"/>
        <v>8</v>
      </c>
      <c r="N792" t="str">
        <f t="shared" si="73"/>
        <v>Aug</v>
      </c>
      <c r="O792" t="str">
        <f t="shared" si="74"/>
        <v>2026-08</v>
      </c>
      <c r="P792" t="str">
        <f t="shared" si="76"/>
        <v>2026-W32</v>
      </c>
      <c r="Q792" t="str">
        <f t="shared" si="77"/>
        <v>Tue</v>
      </c>
    </row>
    <row r="793" spans="1:17" x14ac:dyDescent="0.3">
      <c r="A793" s="2">
        <v>46238</v>
      </c>
      <c r="B793" s="3" t="s">
        <v>839</v>
      </c>
      <c r="C793" s="3" t="s">
        <v>25</v>
      </c>
      <c r="D793" s="3" t="s">
        <v>65</v>
      </c>
      <c r="E793" s="3" t="s">
        <v>41</v>
      </c>
      <c r="F793" s="3" t="s">
        <v>21</v>
      </c>
      <c r="G793" s="3">
        <v>56</v>
      </c>
      <c r="H793" s="4">
        <v>2396</v>
      </c>
      <c r="I793" s="4">
        <v>3000</v>
      </c>
      <c r="J793" s="3" t="s">
        <v>22</v>
      </c>
      <c r="K793" s="3" t="s">
        <v>30</v>
      </c>
      <c r="L793">
        <f t="shared" si="75"/>
        <v>2026</v>
      </c>
      <c r="M793">
        <f t="shared" si="72"/>
        <v>8</v>
      </c>
      <c r="N793" t="str">
        <f t="shared" si="73"/>
        <v>Aug</v>
      </c>
      <c r="O793" t="str">
        <f t="shared" si="74"/>
        <v>2026-08</v>
      </c>
      <c r="P793" t="str">
        <f t="shared" si="76"/>
        <v>2026-W32</v>
      </c>
      <c r="Q793" t="str">
        <f t="shared" si="77"/>
        <v>Tue</v>
      </c>
    </row>
    <row r="794" spans="1:17" x14ac:dyDescent="0.3">
      <c r="A794" s="2">
        <v>46238</v>
      </c>
      <c r="B794" s="3" t="s">
        <v>840</v>
      </c>
      <c r="C794" s="3" t="s">
        <v>57</v>
      </c>
      <c r="D794" s="3" t="s">
        <v>19</v>
      </c>
      <c r="E794" s="3" t="s">
        <v>20</v>
      </c>
      <c r="F794" s="3" t="s">
        <v>21</v>
      </c>
      <c r="G794" s="3">
        <v>119</v>
      </c>
      <c r="H794" s="4">
        <v>5354</v>
      </c>
      <c r="I794" s="4">
        <v>6300</v>
      </c>
      <c r="J794" s="3" t="s">
        <v>22</v>
      </c>
      <c r="K794" s="3" t="s">
        <v>30</v>
      </c>
      <c r="L794">
        <f t="shared" si="75"/>
        <v>2026</v>
      </c>
      <c r="M794">
        <f t="shared" si="72"/>
        <v>8</v>
      </c>
      <c r="N794" t="str">
        <f t="shared" si="73"/>
        <v>Aug</v>
      </c>
      <c r="O794" t="str">
        <f t="shared" si="74"/>
        <v>2026-08</v>
      </c>
      <c r="P794" t="str">
        <f t="shared" si="76"/>
        <v>2026-W32</v>
      </c>
      <c r="Q794" t="str">
        <f t="shared" si="77"/>
        <v>Tue</v>
      </c>
    </row>
    <row r="795" spans="1:17" x14ac:dyDescent="0.3">
      <c r="A795" s="2">
        <v>46238</v>
      </c>
      <c r="B795" s="3" t="s">
        <v>841</v>
      </c>
      <c r="C795" s="3" t="s">
        <v>43</v>
      </c>
      <c r="D795" s="3" t="s">
        <v>13</v>
      </c>
      <c r="E795" s="3" t="s">
        <v>29</v>
      </c>
      <c r="F795" s="3" t="s">
        <v>21</v>
      </c>
      <c r="G795" s="3">
        <v>97</v>
      </c>
      <c r="H795" s="4">
        <v>5030</v>
      </c>
      <c r="I795" s="4">
        <v>4300</v>
      </c>
      <c r="J795" s="3" t="s">
        <v>39</v>
      </c>
      <c r="K795" s="3" t="s">
        <v>36</v>
      </c>
      <c r="L795">
        <f t="shared" si="75"/>
        <v>2026</v>
      </c>
      <c r="M795">
        <f t="shared" si="72"/>
        <v>8</v>
      </c>
      <c r="N795" t="str">
        <f t="shared" si="73"/>
        <v>Aug</v>
      </c>
      <c r="O795" t="str">
        <f t="shared" si="74"/>
        <v>2026-08</v>
      </c>
      <c r="P795" t="str">
        <f t="shared" si="76"/>
        <v>2026-W32</v>
      </c>
      <c r="Q795" t="str">
        <f t="shared" si="77"/>
        <v>Tue</v>
      </c>
    </row>
    <row r="796" spans="1:17" x14ac:dyDescent="0.3">
      <c r="A796" s="2">
        <v>46239</v>
      </c>
      <c r="B796" s="3" t="s">
        <v>842</v>
      </c>
      <c r="C796" s="3" t="s">
        <v>43</v>
      </c>
      <c r="D796" s="3" t="s">
        <v>26</v>
      </c>
      <c r="E796" s="3" t="s">
        <v>44</v>
      </c>
      <c r="F796" s="3" t="s">
        <v>34</v>
      </c>
      <c r="G796" s="3">
        <v>8</v>
      </c>
      <c r="H796" s="4">
        <v>526</v>
      </c>
      <c r="I796" s="4">
        <v>500</v>
      </c>
      <c r="J796" s="3" t="s">
        <v>39</v>
      </c>
      <c r="K796" s="3" t="s">
        <v>23</v>
      </c>
      <c r="L796">
        <f t="shared" si="75"/>
        <v>2026</v>
      </c>
      <c r="M796">
        <f t="shared" si="72"/>
        <v>8</v>
      </c>
      <c r="N796" t="str">
        <f t="shared" si="73"/>
        <v>Aug</v>
      </c>
      <c r="O796" t="str">
        <f t="shared" si="74"/>
        <v>2026-08</v>
      </c>
      <c r="P796" t="str">
        <f t="shared" si="76"/>
        <v>2026-W32</v>
      </c>
      <c r="Q796" t="str">
        <f t="shared" si="77"/>
        <v>Wed</v>
      </c>
    </row>
    <row r="797" spans="1:17" x14ac:dyDescent="0.3">
      <c r="A797" s="2">
        <v>46239</v>
      </c>
      <c r="B797" s="3" t="s">
        <v>843</v>
      </c>
      <c r="C797" s="3" t="s">
        <v>57</v>
      </c>
      <c r="D797" s="3" t="s">
        <v>26</v>
      </c>
      <c r="E797" s="3" t="s">
        <v>20</v>
      </c>
      <c r="F797" s="3" t="s">
        <v>21</v>
      </c>
      <c r="G797" s="3">
        <v>51</v>
      </c>
      <c r="H797" s="4">
        <v>2033</v>
      </c>
      <c r="I797" s="4">
        <v>2500</v>
      </c>
      <c r="J797" s="3" t="s">
        <v>22</v>
      </c>
      <c r="K797" s="3" t="s">
        <v>30</v>
      </c>
      <c r="L797">
        <f t="shared" si="75"/>
        <v>2026</v>
      </c>
      <c r="M797">
        <f t="shared" si="72"/>
        <v>8</v>
      </c>
      <c r="N797" t="str">
        <f t="shared" si="73"/>
        <v>Aug</v>
      </c>
      <c r="O797" t="str">
        <f t="shared" si="74"/>
        <v>2026-08</v>
      </c>
      <c r="P797" t="str">
        <f t="shared" si="76"/>
        <v>2026-W32</v>
      </c>
      <c r="Q797" t="str">
        <f t="shared" si="77"/>
        <v>Wed</v>
      </c>
    </row>
    <row r="798" spans="1:17" x14ac:dyDescent="0.3">
      <c r="A798" s="2">
        <v>46240</v>
      </c>
      <c r="B798" s="3" t="s">
        <v>844</v>
      </c>
      <c r="C798" s="3" t="s">
        <v>43</v>
      </c>
      <c r="D798" s="3" t="s">
        <v>53</v>
      </c>
      <c r="E798" s="3" t="s">
        <v>14</v>
      </c>
      <c r="F798" s="3" t="s">
        <v>15</v>
      </c>
      <c r="G798" s="3">
        <v>45</v>
      </c>
      <c r="H798" s="4">
        <v>3311</v>
      </c>
      <c r="I798" s="4">
        <v>3300</v>
      </c>
      <c r="J798" s="3" t="s">
        <v>39</v>
      </c>
      <c r="K798" s="3" t="s">
        <v>36</v>
      </c>
      <c r="L798">
        <f t="shared" si="75"/>
        <v>2026</v>
      </c>
      <c r="M798">
        <f t="shared" si="72"/>
        <v>8</v>
      </c>
      <c r="N798" t="str">
        <f t="shared" si="73"/>
        <v>Aug</v>
      </c>
      <c r="O798" t="str">
        <f t="shared" si="74"/>
        <v>2026-08</v>
      </c>
      <c r="P798" t="str">
        <f t="shared" si="76"/>
        <v>2026-W32</v>
      </c>
      <c r="Q798" t="str">
        <f t="shared" si="77"/>
        <v>Thu</v>
      </c>
    </row>
    <row r="799" spans="1:17" x14ac:dyDescent="0.3">
      <c r="A799" s="2">
        <v>46240</v>
      </c>
      <c r="B799" s="3" t="s">
        <v>845</v>
      </c>
      <c r="C799" s="3" t="s">
        <v>57</v>
      </c>
      <c r="D799" s="3" t="s">
        <v>26</v>
      </c>
      <c r="E799" s="3" t="s">
        <v>27</v>
      </c>
      <c r="F799" s="3" t="s">
        <v>15</v>
      </c>
      <c r="G799" s="3">
        <v>12</v>
      </c>
      <c r="H799" s="4">
        <v>817</v>
      </c>
      <c r="I799" s="4">
        <v>700</v>
      </c>
      <c r="J799" s="3" t="s">
        <v>22</v>
      </c>
      <c r="K799" s="3" t="s">
        <v>17</v>
      </c>
      <c r="L799">
        <f t="shared" si="75"/>
        <v>2026</v>
      </c>
      <c r="M799">
        <f t="shared" si="72"/>
        <v>8</v>
      </c>
      <c r="N799" t="str">
        <f t="shared" si="73"/>
        <v>Aug</v>
      </c>
      <c r="O799" t="str">
        <f t="shared" si="74"/>
        <v>2026-08</v>
      </c>
      <c r="P799" t="str">
        <f t="shared" si="76"/>
        <v>2026-W32</v>
      </c>
      <c r="Q799" t="str">
        <f t="shared" si="77"/>
        <v>Thu</v>
      </c>
    </row>
    <row r="800" spans="1:17" x14ac:dyDescent="0.3">
      <c r="A800" s="2">
        <v>46242</v>
      </c>
      <c r="B800" s="3" t="s">
        <v>846</v>
      </c>
      <c r="C800" s="3" t="s">
        <v>12</v>
      </c>
      <c r="D800" s="3" t="s">
        <v>65</v>
      </c>
      <c r="E800" s="3" t="s">
        <v>44</v>
      </c>
      <c r="F800" s="3" t="s">
        <v>34</v>
      </c>
      <c r="G800" s="3">
        <v>111</v>
      </c>
      <c r="H800" s="4">
        <v>9125</v>
      </c>
      <c r="I800" s="4">
        <v>10600</v>
      </c>
      <c r="J800" s="3" t="s">
        <v>22</v>
      </c>
      <c r="K800" s="3" t="s">
        <v>30</v>
      </c>
      <c r="L800">
        <f t="shared" si="75"/>
        <v>2026</v>
      </c>
      <c r="M800">
        <f t="shared" si="72"/>
        <v>8</v>
      </c>
      <c r="N800" t="str">
        <f t="shared" si="73"/>
        <v>Aug</v>
      </c>
      <c r="O800" t="str">
        <f t="shared" si="74"/>
        <v>2026-08</v>
      </c>
      <c r="P800" t="str">
        <f t="shared" si="76"/>
        <v>2026-W32</v>
      </c>
      <c r="Q800" t="str">
        <f t="shared" si="77"/>
        <v>Sat</v>
      </c>
    </row>
    <row r="801" spans="1:17" x14ac:dyDescent="0.3">
      <c r="A801" s="2">
        <v>46242</v>
      </c>
      <c r="B801" s="3" t="s">
        <v>847</v>
      </c>
      <c r="C801" s="3" t="s">
        <v>32</v>
      </c>
      <c r="D801" s="3" t="s">
        <v>53</v>
      </c>
      <c r="E801" s="3" t="s">
        <v>29</v>
      </c>
      <c r="F801" s="3" t="s">
        <v>21</v>
      </c>
      <c r="G801" s="3">
        <v>111</v>
      </c>
      <c r="H801" s="4">
        <v>5256</v>
      </c>
      <c r="I801" s="4">
        <v>5300</v>
      </c>
      <c r="J801" s="3" t="s">
        <v>39</v>
      </c>
      <c r="K801" s="3" t="s">
        <v>36</v>
      </c>
      <c r="L801">
        <f t="shared" si="75"/>
        <v>2026</v>
      </c>
      <c r="M801">
        <f t="shared" si="72"/>
        <v>8</v>
      </c>
      <c r="N801" t="str">
        <f t="shared" si="73"/>
        <v>Aug</v>
      </c>
      <c r="O801" t="str">
        <f t="shared" si="74"/>
        <v>2026-08</v>
      </c>
      <c r="P801" t="str">
        <f t="shared" si="76"/>
        <v>2026-W32</v>
      </c>
      <c r="Q801" t="str">
        <f t="shared" si="77"/>
        <v>Sat</v>
      </c>
    </row>
    <row r="802" spans="1:17" x14ac:dyDescent="0.3">
      <c r="A802" s="2">
        <v>46244</v>
      </c>
      <c r="B802" s="3" t="s">
        <v>848</v>
      </c>
      <c r="C802" s="3" t="s">
        <v>38</v>
      </c>
      <c r="D802" s="3" t="s">
        <v>26</v>
      </c>
      <c r="E802" s="3" t="s">
        <v>20</v>
      </c>
      <c r="F802" s="3" t="s">
        <v>21</v>
      </c>
      <c r="G802" s="3">
        <v>12</v>
      </c>
      <c r="H802" s="4">
        <v>599</v>
      </c>
      <c r="I802" s="4">
        <v>500</v>
      </c>
      <c r="J802" s="3" t="s">
        <v>16</v>
      </c>
      <c r="K802" s="3" t="s">
        <v>23</v>
      </c>
      <c r="L802">
        <f t="shared" si="75"/>
        <v>2026</v>
      </c>
      <c r="M802">
        <f t="shared" si="72"/>
        <v>8</v>
      </c>
      <c r="N802" t="str">
        <f t="shared" si="73"/>
        <v>Aug</v>
      </c>
      <c r="O802" t="str">
        <f t="shared" si="74"/>
        <v>2026-08</v>
      </c>
      <c r="P802" t="str">
        <f t="shared" si="76"/>
        <v>2026-W33</v>
      </c>
      <c r="Q802" t="str">
        <f t="shared" si="77"/>
        <v>Mon</v>
      </c>
    </row>
    <row r="803" spans="1:17" x14ac:dyDescent="0.3">
      <c r="A803" s="2">
        <v>46244</v>
      </c>
      <c r="B803" s="3" t="s">
        <v>849</v>
      </c>
      <c r="C803" s="3" t="s">
        <v>50</v>
      </c>
      <c r="D803" s="3" t="s">
        <v>53</v>
      </c>
      <c r="E803" s="3" t="s">
        <v>14</v>
      </c>
      <c r="F803" s="3" t="s">
        <v>15</v>
      </c>
      <c r="G803" s="3">
        <v>64</v>
      </c>
      <c r="H803" s="4">
        <v>4177</v>
      </c>
      <c r="I803" s="4">
        <v>3800</v>
      </c>
      <c r="J803" s="3" t="s">
        <v>22</v>
      </c>
      <c r="K803" s="3" t="s">
        <v>30</v>
      </c>
      <c r="L803">
        <f t="shared" si="75"/>
        <v>2026</v>
      </c>
      <c r="M803">
        <f t="shared" si="72"/>
        <v>8</v>
      </c>
      <c r="N803" t="str">
        <f t="shared" si="73"/>
        <v>Aug</v>
      </c>
      <c r="O803" t="str">
        <f t="shared" si="74"/>
        <v>2026-08</v>
      </c>
      <c r="P803" t="str">
        <f t="shared" si="76"/>
        <v>2026-W33</v>
      </c>
      <c r="Q803" t="str">
        <f t="shared" si="77"/>
        <v>Mon</v>
      </c>
    </row>
    <row r="804" spans="1:17" x14ac:dyDescent="0.3">
      <c r="A804" s="2">
        <v>46244</v>
      </c>
      <c r="B804" s="3" t="s">
        <v>850</v>
      </c>
      <c r="C804" s="3" t="s">
        <v>43</v>
      </c>
      <c r="D804" s="3" t="s">
        <v>13</v>
      </c>
      <c r="E804" s="3" t="s">
        <v>44</v>
      </c>
      <c r="F804" s="3" t="s">
        <v>34</v>
      </c>
      <c r="G804" s="3">
        <v>102</v>
      </c>
      <c r="H804" s="4">
        <v>8521</v>
      </c>
      <c r="I804" s="4">
        <v>10600</v>
      </c>
      <c r="J804" s="3" t="s">
        <v>22</v>
      </c>
      <c r="K804" s="3" t="s">
        <v>17</v>
      </c>
      <c r="L804">
        <f t="shared" si="75"/>
        <v>2026</v>
      </c>
      <c r="M804">
        <f t="shared" si="72"/>
        <v>8</v>
      </c>
      <c r="N804" t="str">
        <f t="shared" si="73"/>
        <v>Aug</v>
      </c>
      <c r="O804" t="str">
        <f t="shared" si="74"/>
        <v>2026-08</v>
      </c>
      <c r="P804" t="str">
        <f t="shared" si="76"/>
        <v>2026-W33</v>
      </c>
      <c r="Q804" t="str">
        <f t="shared" si="77"/>
        <v>Mon</v>
      </c>
    </row>
    <row r="805" spans="1:17" x14ac:dyDescent="0.3">
      <c r="A805" s="2">
        <v>46244</v>
      </c>
      <c r="B805" s="3" t="s">
        <v>851</v>
      </c>
      <c r="C805" s="3" t="s">
        <v>12</v>
      </c>
      <c r="D805" s="3" t="s">
        <v>53</v>
      </c>
      <c r="E805" s="3" t="s">
        <v>27</v>
      </c>
      <c r="F805" s="3" t="s">
        <v>15</v>
      </c>
      <c r="G805" s="3">
        <v>36</v>
      </c>
      <c r="H805" s="4">
        <v>2371</v>
      </c>
      <c r="I805" s="4">
        <v>2000</v>
      </c>
      <c r="J805" s="3" t="s">
        <v>22</v>
      </c>
      <c r="K805" s="3" t="s">
        <v>17</v>
      </c>
      <c r="L805">
        <f t="shared" si="75"/>
        <v>2026</v>
      </c>
      <c r="M805">
        <f t="shared" si="72"/>
        <v>8</v>
      </c>
      <c r="N805" t="str">
        <f t="shared" si="73"/>
        <v>Aug</v>
      </c>
      <c r="O805" t="str">
        <f t="shared" si="74"/>
        <v>2026-08</v>
      </c>
      <c r="P805" t="str">
        <f t="shared" si="76"/>
        <v>2026-W33</v>
      </c>
      <c r="Q805" t="str">
        <f t="shared" si="77"/>
        <v>Mon</v>
      </c>
    </row>
    <row r="806" spans="1:17" x14ac:dyDescent="0.3">
      <c r="A806" s="2">
        <v>46245</v>
      </c>
      <c r="B806" s="3" t="s">
        <v>852</v>
      </c>
      <c r="C806" s="3" t="s">
        <v>12</v>
      </c>
      <c r="D806" s="3" t="s">
        <v>19</v>
      </c>
      <c r="E806" s="3" t="s">
        <v>27</v>
      </c>
      <c r="F806" s="3" t="s">
        <v>15</v>
      </c>
      <c r="G806" s="3">
        <v>89</v>
      </c>
      <c r="H806" s="4">
        <v>6511</v>
      </c>
      <c r="I806" s="4">
        <v>6700</v>
      </c>
      <c r="J806" s="3" t="s">
        <v>22</v>
      </c>
      <c r="K806" s="3" t="s">
        <v>23</v>
      </c>
      <c r="L806">
        <f t="shared" si="75"/>
        <v>2026</v>
      </c>
      <c r="M806">
        <f t="shared" si="72"/>
        <v>8</v>
      </c>
      <c r="N806" t="str">
        <f t="shared" si="73"/>
        <v>Aug</v>
      </c>
      <c r="O806" t="str">
        <f t="shared" si="74"/>
        <v>2026-08</v>
      </c>
      <c r="P806" t="str">
        <f t="shared" si="76"/>
        <v>2026-W33</v>
      </c>
      <c r="Q806" t="str">
        <f t="shared" si="77"/>
        <v>Tue</v>
      </c>
    </row>
    <row r="807" spans="1:17" x14ac:dyDescent="0.3">
      <c r="A807" s="2">
        <v>46245</v>
      </c>
      <c r="B807" s="3" t="s">
        <v>853</v>
      </c>
      <c r="C807" s="3" t="s">
        <v>38</v>
      </c>
      <c r="D807" s="3" t="s">
        <v>26</v>
      </c>
      <c r="E807" s="3" t="s">
        <v>41</v>
      </c>
      <c r="F807" s="3" t="s">
        <v>21</v>
      </c>
      <c r="G807" s="3">
        <v>69</v>
      </c>
      <c r="H807" s="4">
        <v>3585</v>
      </c>
      <c r="I807" s="4">
        <v>4100</v>
      </c>
      <c r="J807" s="3" t="s">
        <v>16</v>
      </c>
      <c r="K807" s="3" t="s">
        <v>23</v>
      </c>
      <c r="L807">
        <f t="shared" si="75"/>
        <v>2026</v>
      </c>
      <c r="M807">
        <f t="shared" si="72"/>
        <v>8</v>
      </c>
      <c r="N807" t="str">
        <f t="shared" si="73"/>
        <v>Aug</v>
      </c>
      <c r="O807" t="str">
        <f t="shared" si="74"/>
        <v>2026-08</v>
      </c>
      <c r="P807" t="str">
        <f t="shared" si="76"/>
        <v>2026-W33</v>
      </c>
      <c r="Q807" t="str">
        <f t="shared" si="77"/>
        <v>Tue</v>
      </c>
    </row>
    <row r="808" spans="1:17" x14ac:dyDescent="0.3">
      <c r="A808" s="2">
        <v>46246</v>
      </c>
      <c r="B808" s="3" t="s">
        <v>854</v>
      </c>
      <c r="C808" s="3" t="s">
        <v>91</v>
      </c>
      <c r="D808" s="3" t="s">
        <v>19</v>
      </c>
      <c r="E808" s="3" t="s">
        <v>33</v>
      </c>
      <c r="F808" s="3" t="s">
        <v>34</v>
      </c>
      <c r="G808" s="3">
        <v>107</v>
      </c>
      <c r="H808" s="4">
        <v>8861</v>
      </c>
      <c r="I808" s="4">
        <v>8800</v>
      </c>
      <c r="J808" s="3" t="s">
        <v>22</v>
      </c>
      <c r="K808" s="3" t="s">
        <v>36</v>
      </c>
      <c r="L808">
        <f t="shared" si="75"/>
        <v>2026</v>
      </c>
      <c r="M808">
        <f t="shared" si="72"/>
        <v>8</v>
      </c>
      <c r="N808" t="str">
        <f t="shared" si="73"/>
        <v>Aug</v>
      </c>
      <c r="O808" t="str">
        <f t="shared" si="74"/>
        <v>2026-08</v>
      </c>
      <c r="P808" t="str">
        <f t="shared" si="76"/>
        <v>2026-W33</v>
      </c>
      <c r="Q808" t="str">
        <f t="shared" si="77"/>
        <v>Wed</v>
      </c>
    </row>
    <row r="809" spans="1:17" x14ac:dyDescent="0.3">
      <c r="A809" s="2">
        <v>46246</v>
      </c>
      <c r="B809" s="3" t="s">
        <v>855</v>
      </c>
      <c r="C809" s="3" t="s">
        <v>50</v>
      </c>
      <c r="D809" s="3" t="s">
        <v>53</v>
      </c>
      <c r="E809" s="3" t="s">
        <v>20</v>
      </c>
      <c r="F809" s="3" t="s">
        <v>21</v>
      </c>
      <c r="G809" s="3">
        <v>45</v>
      </c>
      <c r="H809" s="4">
        <v>2298</v>
      </c>
      <c r="I809" s="4">
        <v>1900</v>
      </c>
      <c r="J809" s="3" t="s">
        <v>22</v>
      </c>
      <c r="K809" s="3" t="s">
        <v>36</v>
      </c>
      <c r="L809">
        <f t="shared" si="75"/>
        <v>2026</v>
      </c>
      <c r="M809">
        <f t="shared" si="72"/>
        <v>8</v>
      </c>
      <c r="N809" t="str">
        <f t="shared" si="73"/>
        <v>Aug</v>
      </c>
      <c r="O809" t="str">
        <f t="shared" si="74"/>
        <v>2026-08</v>
      </c>
      <c r="P809" t="str">
        <f t="shared" si="76"/>
        <v>2026-W33</v>
      </c>
      <c r="Q809" t="str">
        <f t="shared" si="77"/>
        <v>Wed</v>
      </c>
    </row>
    <row r="810" spans="1:17" x14ac:dyDescent="0.3">
      <c r="A810" s="2">
        <v>46247</v>
      </c>
      <c r="B810" s="3" t="s">
        <v>856</v>
      </c>
      <c r="C810" s="3" t="s">
        <v>38</v>
      </c>
      <c r="D810" s="3" t="s">
        <v>26</v>
      </c>
      <c r="E810" s="3" t="s">
        <v>29</v>
      </c>
      <c r="F810" s="3" t="s">
        <v>21</v>
      </c>
      <c r="G810" s="3">
        <v>75</v>
      </c>
      <c r="H810" s="4">
        <v>3870</v>
      </c>
      <c r="I810" s="4">
        <v>4500</v>
      </c>
      <c r="J810" s="3" t="s">
        <v>22</v>
      </c>
      <c r="K810" s="3" t="s">
        <v>30</v>
      </c>
      <c r="L810">
        <f t="shared" si="75"/>
        <v>2026</v>
      </c>
      <c r="M810">
        <f t="shared" si="72"/>
        <v>8</v>
      </c>
      <c r="N810" t="str">
        <f t="shared" si="73"/>
        <v>Aug</v>
      </c>
      <c r="O810" t="str">
        <f t="shared" si="74"/>
        <v>2026-08</v>
      </c>
      <c r="P810" t="str">
        <f t="shared" si="76"/>
        <v>2026-W33</v>
      </c>
      <c r="Q810" t="str">
        <f t="shared" si="77"/>
        <v>Thu</v>
      </c>
    </row>
    <row r="811" spans="1:17" x14ac:dyDescent="0.3">
      <c r="A811" s="2">
        <v>46247</v>
      </c>
      <c r="B811" s="3" t="s">
        <v>857</v>
      </c>
      <c r="C811" s="3" t="s">
        <v>32</v>
      </c>
      <c r="D811" s="3" t="s">
        <v>47</v>
      </c>
      <c r="E811" s="3" t="s">
        <v>41</v>
      </c>
      <c r="F811" s="3" t="s">
        <v>21</v>
      </c>
      <c r="G811" s="3">
        <v>75</v>
      </c>
      <c r="H811" s="4">
        <v>3596</v>
      </c>
      <c r="I811" s="4">
        <v>4000</v>
      </c>
      <c r="J811" s="3" t="s">
        <v>22</v>
      </c>
      <c r="K811" s="3" t="s">
        <v>23</v>
      </c>
      <c r="L811">
        <f t="shared" si="75"/>
        <v>2026</v>
      </c>
      <c r="M811">
        <f t="shared" si="72"/>
        <v>8</v>
      </c>
      <c r="N811" t="str">
        <f t="shared" si="73"/>
        <v>Aug</v>
      </c>
      <c r="O811" t="str">
        <f t="shared" si="74"/>
        <v>2026-08</v>
      </c>
      <c r="P811" t="str">
        <f t="shared" si="76"/>
        <v>2026-W33</v>
      </c>
      <c r="Q811" t="str">
        <f t="shared" si="77"/>
        <v>Thu</v>
      </c>
    </row>
    <row r="812" spans="1:17" x14ac:dyDescent="0.3">
      <c r="A812" s="2">
        <v>46247</v>
      </c>
      <c r="B812" s="3" t="s">
        <v>858</v>
      </c>
      <c r="C812" s="3" t="s">
        <v>57</v>
      </c>
      <c r="D812" s="3" t="s">
        <v>19</v>
      </c>
      <c r="E812" s="3" t="s">
        <v>41</v>
      </c>
      <c r="F812" s="3" t="s">
        <v>21</v>
      </c>
      <c r="G812" s="3">
        <v>83</v>
      </c>
      <c r="H812" s="4">
        <v>3180</v>
      </c>
      <c r="I812" s="4">
        <v>3700</v>
      </c>
      <c r="J812" s="3" t="s">
        <v>22</v>
      </c>
      <c r="K812" s="3" t="s">
        <v>36</v>
      </c>
      <c r="L812">
        <f t="shared" si="75"/>
        <v>2026</v>
      </c>
      <c r="M812">
        <f t="shared" si="72"/>
        <v>8</v>
      </c>
      <c r="N812" t="str">
        <f t="shared" si="73"/>
        <v>Aug</v>
      </c>
      <c r="O812" t="str">
        <f t="shared" si="74"/>
        <v>2026-08</v>
      </c>
      <c r="P812" t="str">
        <f t="shared" si="76"/>
        <v>2026-W33</v>
      </c>
      <c r="Q812" t="str">
        <f t="shared" si="77"/>
        <v>Thu</v>
      </c>
    </row>
    <row r="813" spans="1:17" x14ac:dyDescent="0.3">
      <c r="A813" s="2">
        <v>46248</v>
      </c>
      <c r="B813" s="3" t="s">
        <v>859</v>
      </c>
      <c r="C813" s="3" t="s">
        <v>91</v>
      </c>
      <c r="D813" s="3" t="s">
        <v>19</v>
      </c>
      <c r="E813" s="3" t="s">
        <v>61</v>
      </c>
      <c r="F813" s="3" t="s">
        <v>59</v>
      </c>
      <c r="G813" s="3">
        <v>61</v>
      </c>
      <c r="H813" s="4">
        <v>6876</v>
      </c>
      <c r="I813" s="4">
        <v>8100</v>
      </c>
      <c r="J813" s="3" t="s">
        <v>22</v>
      </c>
      <c r="K813" s="3" t="s">
        <v>36</v>
      </c>
      <c r="L813">
        <f t="shared" si="75"/>
        <v>2026</v>
      </c>
      <c r="M813">
        <f t="shared" si="72"/>
        <v>8</v>
      </c>
      <c r="N813" t="str">
        <f t="shared" si="73"/>
        <v>Aug</v>
      </c>
      <c r="O813" t="str">
        <f t="shared" si="74"/>
        <v>2026-08</v>
      </c>
      <c r="P813" t="str">
        <f t="shared" si="76"/>
        <v>2026-W33</v>
      </c>
      <c r="Q813" t="str">
        <f t="shared" si="77"/>
        <v>Fri</v>
      </c>
    </row>
    <row r="814" spans="1:17" x14ac:dyDescent="0.3">
      <c r="A814" s="2">
        <v>46248</v>
      </c>
      <c r="B814" s="3" t="s">
        <v>860</v>
      </c>
      <c r="C814" s="3" t="s">
        <v>91</v>
      </c>
      <c r="D814" s="3" t="s">
        <v>26</v>
      </c>
      <c r="E814" s="3" t="s">
        <v>27</v>
      </c>
      <c r="F814" s="3" t="s">
        <v>15</v>
      </c>
      <c r="G814" s="3">
        <v>105</v>
      </c>
      <c r="H814" s="4">
        <v>7255</v>
      </c>
      <c r="I814" s="4">
        <v>8900</v>
      </c>
      <c r="J814" s="3" t="s">
        <v>16</v>
      </c>
      <c r="K814" s="3" t="s">
        <v>17</v>
      </c>
      <c r="L814">
        <f t="shared" si="75"/>
        <v>2026</v>
      </c>
      <c r="M814">
        <f t="shared" si="72"/>
        <v>8</v>
      </c>
      <c r="N814" t="str">
        <f t="shared" si="73"/>
        <v>Aug</v>
      </c>
      <c r="O814" t="str">
        <f t="shared" si="74"/>
        <v>2026-08</v>
      </c>
      <c r="P814" t="str">
        <f t="shared" si="76"/>
        <v>2026-W33</v>
      </c>
      <c r="Q814" t="str">
        <f t="shared" si="77"/>
        <v>Fri</v>
      </c>
    </row>
    <row r="815" spans="1:17" x14ac:dyDescent="0.3">
      <c r="A815" s="2">
        <v>46249</v>
      </c>
      <c r="B815" s="3" t="s">
        <v>861</v>
      </c>
      <c r="C815" s="3" t="s">
        <v>25</v>
      </c>
      <c r="D815" s="3" t="s">
        <v>65</v>
      </c>
      <c r="E815" s="3" t="s">
        <v>29</v>
      </c>
      <c r="F815" s="3" t="s">
        <v>21</v>
      </c>
      <c r="G815" s="3">
        <v>80</v>
      </c>
      <c r="H815" s="4">
        <v>3709</v>
      </c>
      <c r="I815" s="4">
        <v>4300</v>
      </c>
      <c r="J815" s="3" t="s">
        <v>22</v>
      </c>
      <c r="K815" s="3" t="s">
        <v>23</v>
      </c>
      <c r="L815">
        <f t="shared" si="75"/>
        <v>2026</v>
      </c>
      <c r="M815">
        <f t="shared" si="72"/>
        <v>8</v>
      </c>
      <c r="N815" t="str">
        <f t="shared" si="73"/>
        <v>Aug</v>
      </c>
      <c r="O815" t="str">
        <f t="shared" si="74"/>
        <v>2026-08</v>
      </c>
      <c r="P815" t="str">
        <f t="shared" si="76"/>
        <v>2026-W33</v>
      </c>
      <c r="Q815" t="str">
        <f t="shared" si="77"/>
        <v>Sat</v>
      </c>
    </row>
    <row r="816" spans="1:17" x14ac:dyDescent="0.3">
      <c r="A816" s="2">
        <v>46250</v>
      </c>
      <c r="B816" s="3" t="s">
        <v>862</v>
      </c>
      <c r="C816" s="3" t="s">
        <v>38</v>
      </c>
      <c r="D816" s="3" t="s">
        <v>26</v>
      </c>
      <c r="E816" s="3" t="s">
        <v>58</v>
      </c>
      <c r="F816" s="3" t="s">
        <v>59</v>
      </c>
      <c r="G816" s="3">
        <v>10</v>
      </c>
      <c r="H816" s="4">
        <v>1338</v>
      </c>
      <c r="I816" s="4">
        <v>1500</v>
      </c>
      <c r="J816" s="3" t="s">
        <v>22</v>
      </c>
      <c r="K816" s="3" t="s">
        <v>36</v>
      </c>
      <c r="L816">
        <f t="shared" si="75"/>
        <v>2026</v>
      </c>
      <c r="M816">
        <f t="shared" si="72"/>
        <v>8</v>
      </c>
      <c r="N816" t="str">
        <f t="shared" si="73"/>
        <v>Aug</v>
      </c>
      <c r="O816" t="str">
        <f t="shared" si="74"/>
        <v>2026-08</v>
      </c>
      <c r="P816" t="str">
        <f t="shared" si="76"/>
        <v>2026-W33</v>
      </c>
      <c r="Q816" t="str">
        <f t="shared" si="77"/>
        <v>Sun</v>
      </c>
    </row>
    <row r="817" spans="1:17" x14ac:dyDescent="0.3">
      <c r="A817" s="2">
        <v>46250</v>
      </c>
      <c r="B817" s="3" t="s">
        <v>863</v>
      </c>
      <c r="C817" s="3" t="s">
        <v>32</v>
      </c>
      <c r="D817" s="3" t="s">
        <v>26</v>
      </c>
      <c r="E817" s="3" t="s">
        <v>48</v>
      </c>
      <c r="F817" s="3" t="s">
        <v>15</v>
      </c>
      <c r="G817" s="3">
        <v>99</v>
      </c>
      <c r="H817" s="4">
        <v>5188</v>
      </c>
      <c r="I817" s="4">
        <v>4400</v>
      </c>
      <c r="J817" s="3" t="s">
        <v>22</v>
      </c>
      <c r="K817" s="3" t="s">
        <v>30</v>
      </c>
      <c r="L817">
        <f t="shared" si="75"/>
        <v>2026</v>
      </c>
      <c r="M817">
        <f t="shared" si="72"/>
        <v>8</v>
      </c>
      <c r="N817" t="str">
        <f t="shared" si="73"/>
        <v>Aug</v>
      </c>
      <c r="O817" t="str">
        <f t="shared" si="74"/>
        <v>2026-08</v>
      </c>
      <c r="P817" t="str">
        <f t="shared" si="76"/>
        <v>2026-W33</v>
      </c>
      <c r="Q817" t="str">
        <f t="shared" si="77"/>
        <v>Sun</v>
      </c>
    </row>
    <row r="818" spans="1:17" x14ac:dyDescent="0.3">
      <c r="A818" s="2">
        <v>46251</v>
      </c>
      <c r="B818" s="3" t="s">
        <v>864</v>
      </c>
      <c r="C818" s="3" t="s">
        <v>50</v>
      </c>
      <c r="D818" s="3" t="s">
        <v>47</v>
      </c>
      <c r="E818" s="3" t="s">
        <v>44</v>
      </c>
      <c r="F818" s="3" t="s">
        <v>34</v>
      </c>
      <c r="G818" s="3">
        <v>117</v>
      </c>
      <c r="H818" s="4">
        <v>8521</v>
      </c>
      <c r="I818" s="4">
        <v>7800</v>
      </c>
      <c r="J818" s="3" t="s">
        <v>22</v>
      </c>
      <c r="K818" s="3" t="s">
        <v>23</v>
      </c>
      <c r="L818">
        <f t="shared" si="75"/>
        <v>2026</v>
      </c>
      <c r="M818">
        <f t="shared" si="72"/>
        <v>8</v>
      </c>
      <c r="N818" t="str">
        <f t="shared" si="73"/>
        <v>Aug</v>
      </c>
      <c r="O818" t="str">
        <f t="shared" si="74"/>
        <v>2026-08</v>
      </c>
      <c r="P818" t="str">
        <f t="shared" si="76"/>
        <v>2026-W34</v>
      </c>
      <c r="Q818" t="str">
        <f t="shared" si="77"/>
        <v>Mon</v>
      </c>
    </row>
    <row r="819" spans="1:17" x14ac:dyDescent="0.3">
      <c r="A819" s="2">
        <v>46251</v>
      </c>
      <c r="B819" s="3" t="s">
        <v>865</v>
      </c>
      <c r="C819" s="3" t="s">
        <v>32</v>
      </c>
      <c r="D819" s="3" t="s">
        <v>47</v>
      </c>
      <c r="E819" s="3" t="s">
        <v>29</v>
      </c>
      <c r="F819" s="3" t="s">
        <v>21</v>
      </c>
      <c r="G819" s="3">
        <v>84</v>
      </c>
      <c r="H819" s="4">
        <v>3622</v>
      </c>
      <c r="I819" s="4">
        <v>4200</v>
      </c>
      <c r="J819" s="3" t="s">
        <v>39</v>
      </c>
      <c r="K819" s="3" t="s">
        <v>17</v>
      </c>
      <c r="L819">
        <f t="shared" si="75"/>
        <v>2026</v>
      </c>
      <c r="M819">
        <f t="shared" si="72"/>
        <v>8</v>
      </c>
      <c r="N819" t="str">
        <f t="shared" si="73"/>
        <v>Aug</v>
      </c>
      <c r="O819" t="str">
        <f t="shared" si="74"/>
        <v>2026-08</v>
      </c>
      <c r="P819" t="str">
        <f t="shared" si="76"/>
        <v>2026-W34</v>
      </c>
      <c r="Q819" t="str">
        <f t="shared" si="77"/>
        <v>Mon</v>
      </c>
    </row>
    <row r="820" spans="1:17" x14ac:dyDescent="0.3">
      <c r="A820" s="2">
        <v>46252</v>
      </c>
      <c r="B820" s="3" t="s">
        <v>866</v>
      </c>
      <c r="C820" s="3" t="s">
        <v>32</v>
      </c>
      <c r="D820" s="3" t="s">
        <v>47</v>
      </c>
      <c r="E820" s="3" t="s">
        <v>61</v>
      </c>
      <c r="F820" s="3" t="s">
        <v>59</v>
      </c>
      <c r="G820" s="3">
        <v>108</v>
      </c>
      <c r="H820" s="4">
        <v>10641</v>
      </c>
      <c r="I820" s="4">
        <v>12200</v>
      </c>
      <c r="J820" s="3" t="s">
        <v>16</v>
      </c>
      <c r="K820" s="3" t="s">
        <v>30</v>
      </c>
      <c r="L820">
        <f t="shared" si="75"/>
        <v>2026</v>
      </c>
      <c r="M820">
        <f t="shared" si="72"/>
        <v>8</v>
      </c>
      <c r="N820" t="str">
        <f t="shared" si="73"/>
        <v>Aug</v>
      </c>
      <c r="O820" t="str">
        <f t="shared" si="74"/>
        <v>2026-08</v>
      </c>
      <c r="P820" t="str">
        <f t="shared" si="76"/>
        <v>2026-W34</v>
      </c>
      <c r="Q820" t="str">
        <f t="shared" si="77"/>
        <v>Tue</v>
      </c>
    </row>
    <row r="821" spans="1:17" x14ac:dyDescent="0.3">
      <c r="A821" s="2">
        <v>46252</v>
      </c>
      <c r="B821" s="3" t="s">
        <v>867</v>
      </c>
      <c r="C821" s="3" t="s">
        <v>12</v>
      </c>
      <c r="D821" s="3" t="s">
        <v>26</v>
      </c>
      <c r="E821" s="3" t="s">
        <v>27</v>
      </c>
      <c r="F821" s="3" t="s">
        <v>15</v>
      </c>
      <c r="G821" s="3">
        <v>115</v>
      </c>
      <c r="H821" s="4">
        <v>6262</v>
      </c>
      <c r="I821" s="4">
        <v>6300</v>
      </c>
      <c r="J821" s="3" t="s">
        <v>16</v>
      </c>
      <c r="K821" s="3" t="s">
        <v>36</v>
      </c>
      <c r="L821">
        <f t="shared" si="75"/>
        <v>2026</v>
      </c>
      <c r="M821">
        <f t="shared" si="72"/>
        <v>8</v>
      </c>
      <c r="N821" t="str">
        <f t="shared" si="73"/>
        <v>Aug</v>
      </c>
      <c r="O821" t="str">
        <f t="shared" si="74"/>
        <v>2026-08</v>
      </c>
      <c r="P821" t="str">
        <f t="shared" si="76"/>
        <v>2026-W34</v>
      </c>
      <c r="Q821" t="str">
        <f t="shared" si="77"/>
        <v>Tue</v>
      </c>
    </row>
    <row r="822" spans="1:17" x14ac:dyDescent="0.3">
      <c r="A822" s="2">
        <v>46252</v>
      </c>
      <c r="B822" s="3" t="s">
        <v>868</v>
      </c>
      <c r="C822" s="3" t="s">
        <v>38</v>
      </c>
      <c r="D822" s="3" t="s">
        <v>53</v>
      </c>
      <c r="E822" s="3" t="s">
        <v>14</v>
      </c>
      <c r="F822" s="3" t="s">
        <v>15</v>
      </c>
      <c r="G822" s="3">
        <v>40</v>
      </c>
      <c r="H822" s="4">
        <v>2334</v>
      </c>
      <c r="I822" s="4">
        <v>2800</v>
      </c>
      <c r="J822" s="3" t="s">
        <v>22</v>
      </c>
      <c r="K822" s="3" t="s">
        <v>23</v>
      </c>
      <c r="L822">
        <f t="shared" si="75"/>
        <v>2026</v>
      </c>
      <c r="M822">
        <f t="shared" si="72"/>
        <v>8</v>
      </c>
      <c r="N822" t="str">
        <f t="shared" si="73"/>
        <v>Aug</v>
      </c>
      <c r="O822" t="str">
        <f t="shared" si="74"/>
        <v>2026-08</v>
      </c>
      <c r="P822" t="str">
        <f t="shared" si="76"/>
        <v>2026-W34</v>
      </c>
      <c r="Q822" t="str">
        <f t="shared" si="77"/>
        <v>Tue</v>
      </c>
    </row>
    <row r="823" spans="1:17" x14ac:dyDescent="0.3">
      <c r="A823" s="2">
        <v>46252</v>
      </c>
      <c r="B823" s="3" t="s">
        <v>869</v>
      </c>
      <c r="C823" s="3" t="s">
        <v>43</v>
      </c>
      <c r="D823" s="3" t="s">
        <v>47</v>
      </c>
      <c r="E823" s="3" t="s">
        <v>123</v>
      </c>
      <c r="F823" s="3" t="s">
        <v>59</v>
      </c>
      <c r="G823" s="3">
        <v>17</v>
      </c>
      <c r="H823" s="4">
        <v>2204</v>
      </c>
      <c r="I823" s="4">
        <v>1800</v>
      </c>
      <c r="J823" s="3" t="s">
        <v>39</v>
      </c>
      <c r="K823" s="3" t="s">
        <v>17</v>
      </c>
      <c r="L823">
        <f t="shared" si="75"/>
        <v>2026</v>
      </c>
      <c r="M823">
        <f t="shared" si="72"/>
        <v>8</v>
      </c>
      <c r="N823" t="str">
        <f t="shared" si="73"/>
        <v>Aug</v>
      </c>
      <c r="O823" t="str">
        <f t="shared" si="74"/>
        <v>2026-08</v>
      </c>
      <c r="P823" t="str">
        <f t="shared" si="76"/>
        <v>2026-W34</v>
      </c>
      <c r="Q823" t="str">
        <f t="shared" si="77"/>
        <v>Tue</v>
      </c>
    </row>
    <row r="824" spans="1:17" x14ac:dyDescent="0.3">
      <c r="A824" s="2">
        <v>46252</v>
      </c>
      <c r="B824" s="3" t="s">
        <v>870</v>
      </c>
      <c r="C824" s="3" t="s">
        <v>57</v>
      </c>
      <c r="D824" s="3" t="s">
        <v>53</v>
      </c>
      <c r="E824" s="3" t="s">
        <v>29</v>
      </c>
      <c r="F824" s="3" t="s">
        <v>21</v>
      </c>
      <c r="G824" s="3">
        <v>55</v>
      </c>
      <c r="H824" s="4">
        <v>2248</v>
      </c>
      <c r="I824" s="4">
        <v>2400</v>
      </c>
      <c r="J824" s="3" t="s">
        <v>22</v>
      </c>
      <c r="K824" s="3" t="s">
        <v>36</v>
      </c>
      <c r="L824">
        <f t="shared" si="75"/>
        <v>2026</v>
      </c>
      <c r="M824">
        <f t="shared" si="72"/>
        <v>8</v>
      </c>
      <c r="N824" t="str">
        <f t="shared" si="73"/>
        <v>Aug</v>
      </c>
      <c r="O824" t="str">
        <f t="shared" si="74"/>
        <v>2026-08</v>
      </c>
      <c r="P824" t="str">
        <f t="shared" si="76"/>
        <v>2026-W34</v>
      </c>
      <c r="Q824" t="str">
        <f t="shared" si="77"/>
        <v>Tue</v>
      </c>
    </row>
    <row r="825" spans="1:17" x14ac:dyDescent="0.3">
      <c r="A825" s="2">
        <v>46252</v>
      </c>
      <c r="B825" s="3" t="s">
        <v>871</v>
      </c>
      <c r="C825" s="3" t="s">
        <v>57</v>
      </c>
      <c r="D825" s="3" t="s">
        <v>19</v>
      </c>
      <c r="E825" s="3" t="s">
        <v>27</v>
      </c>
      <c r="F825" s="3" t="s">
        <v>15</v>
      </c>
      <c r="G825" s="3">
        <v>58</v>
      </c>
      <c r="H825" s="4">
        <v>3243</v>
      </c>
      <c r="I825" s="4">
        <v>3400</v>
      </c>
      <c r="J825" s="3" t="s">
        <v>22</v>
      </c>
      <c r="K825" s="3" t="s">
        <v>36</v>
      </c>
      <c r="L825">
        <f t="shared" si="75"/>
        <v>2026</v>
      </c>
      <c r="M825">
        <f t="shared" si="72"/>
        <v>8</v>
      </c>
      <c r="N825" t="str">
        <f t="shared" si="73"/>
        <v>Aug</v>
      </c>
      <c r="O825" t="str">
        <f t="shared" si="74"/>
        <v>2026-08</v>
      </c>
      <c r="P825" t="str">
        <f t="shared" si="76"/>
        <v>2026-W34</v>
      </c>
      <c r="Q825" t="str">
        <f t="shared" si="77"/>
        <v>Tue</v>
      </c>
    </row>
    <row r="826" spans="1:17" x14ac:dyDescent="0.3">
      <c r="A826" s="2">
        <v>46252</v>
      </c>
      <c r="B826" s="3" t="s">
        <v>872</v>
      </c>
      <c r="C826" s="3" t="s">
        <v>91</v>
      </c>
      <c r="D826" s="3" t="s">
        <v>26</v>
      </c>
      <c r="E826" s="3" t="s">
        <v>68</v>
      </c>
      <c r="F826" s="3" t="s">
        <v>34</v>
      </c>
      <c r="G826" s="3">
        <v>119</v>
      </c>
      <c r="H826" s="4">
        <v>8624</v>
      </c>
      <c r="I826" s="4">
        <v>9100</v>
      </c>
      <c r="J826" s="3" t="s">
        <v>22</v>
      </c>
      <c r="K826" s="3" t="s">
        <v>36</v>
      </c>
      <c r="L826">
        <f t="shared" si="75"/>
        <v>2026</v>
      </c>
      <c r="M826">
        <f t="shared" si="72"/>
        <v>8</v>
      </c>
      <c r="N826" t="str">
        <f t="shared" si="73"/>
        <v>Aug</v>
      </c>
      <c r="O826" t="str">
        <f t="shared" si="74"/>
        <v>2026-08</v>
      </c>
      <c r="P826" t="str">
        <f t="shared" si="76"/>
        <v>2026-W34</v>
      </c>
      <c r="Q826" t="str">
        <f t="shared" si="77"/>
        <v>Tue</v>
      </c>
    </row>
    <row r="827" spans="1:17" x14ac:dyDescent="0.3">
      <c r="A827" s="2">
        <v>46253</v>
      </c>
      <c r="B827" s="3" t="s">
        <v>873</v>
      </c>
      <c r="C827" s="3" t="s">
        <v>50</v>
      </c>
      <c r="D827" s="3" t="s">
        <v>26</v>
      </c>
      <c r="E827" s="3" t="s">
        <v>20</v>
      </c>
      <c r="F827" s="3" t="s">
        <v>21</v>
      </c>
      <c r="G827" s="3">
        <v>25</v>
      </c>
      <c r="H827" s="4">
        <v>1117</v>
      </c>
      <c r="I827" s="4">
        <v>1100</v>
      </c>
      <c r="J827" s="3" t="s">
        <v>22</v>
      </c>
      <c r="K827" s="3" t="s">
        <v>30</v>
      </c>
      <c r="L827">
        <f t="shared" si="75"/>
        <v>2026</v>
      </c>
      <c r="M827">
        <f t="shared" si="72"/>
        <v>8</v>
      </c>
      <c r="N827" t="str">
        <f t="shared" si="73"/>
        <v>Aug</v>
      </c>
      <c r="O827" t="str">
        <f t="shared" si="74"/>
        <v>2026-08</v>
      </c>
      <c r="P827" t="str">
        <f t="shared" si="76"/>
        <v>2026-W34</v>
      </c>
      <c r="Q827" t="str">
        <f t="shared" si="77"/>
        <v>Wed</v>
      </c>
    </row>
    <row r="828" spans="1:17" x14ac:dyDescent="0.3">
      <c r="A828" s="2">
        <v>46254</v>
      </c>
      <c r="B828" s="3" t="s">
        <v>874</v>
      </c>
      <c r="C828" s="3" t="s">
        <v>38</v>
      </c>
      <c r="D828" s="3" t="s">
        <v>53</v>
      </c>
      <c r="E828" s="3" t="s">
        <v>14</v>
      </c>
      <c r="F828" s="3" t="s">
        <v>15</v>
      </c>
      <c r="G828" s="3">
        <v>64</v>
      </c>
      <c r="H828" s="4">
        <v>4150</v>
      </c>
      <c r="I828" s="4">
        <v>4000</v>
      </c>
      <c r="J828" s="3" t="s">
        <v>39</v>
      </c>
      <c r="K828" s="3" t="s">
        <v>17</v>
      </c>
      <c r="L828">
        <f t="shared" si="75"/>
        <v>2026</v>
      </c>
      <c r="M828">
        <f t="shared" si="72"/>
        <v>8</v>
      </c>
      <c r="N828" t="str">
        <f t="shared" si="73"/>
        <v>Aug</v>
      </c>
      <c r="O828" t="str">
        <f t="shared" si="74"/>
        <v>2026-08</v>
      </c>
      <c r="P828" t="str">
        <f t="shared" si="76"/>
        <v>2026-W34</v>
      </c>
      <c r="Q828" t="str">
        <f t="shared" si="77"/>
        <v>Thu</v>
      </c>
    </row>
    <row r="829" spans="1:17" x14ac:dyDescent="0.3">
      <c r="A829" s="2">
        <v>46254</v>
      </c>
      <c r="B829" s="3" t="s">
        <v>875</v>
      </c>
      <c r="C829" s="3" t="s">
        <v>43</v>
      </c>
      <c r="D829" s="3" t="s">
        <v>26</v>
      </c>
      <c r="E829" s="3" t="s">
        <v>27</v>
      </c>
      <c r="F829" s="3" t="s">
        <v>15</v>
      </c>
      <c r="G829" s="3">
        <v>44</v>
      </c>
      <c r="H829" s="4">
        <v>2945</v>
      </c>
      <c r="I829" s="4">
        <v>2900</v>
      </c>
      <c r="J829" s="3" t="s">
        <v>22</v>
      </c>
      <c r="K829" s="3" t="s">
        <v>17</v>
      </c>
      <c r="L829">
        <f t="shared" si="75"/>
        <v>2026</v>
      </c>
      <c r="M829">
        <f t="shared" si="72"/>
        <v>8</v>
      </c>
      <c r="N829" t="str">
        <f t="shared" si="73"/>
        <v>Aug</v>
      </c>
      <c r="O829" t="str">
        <f t="shared" si="74"/>
        <v>2026-08</v>
      </c>
      <c r="P829" t="str">
        <f t="shared" si="76"/>
        <v>2026-W34</v>
      </c>
      <c r="Q829" t="str">
        <f t="shared" si="77"/>
        <v>Thu</v>
      </c>
    </row>
    <row r="830" spans="1:17" x14ac:dyDescent="0.3">
      <c r="A830" s="2">
        <v>46254</v>
      </c>
      <c r="B830" s="3" t="s">
        <v>876</v>
      </c>
      <c r="C830" s="3" t="s">
        <v>38</v>
      </c>
      <c r="D830" s="3" t="s">
        <v>26</v>
      </c>
      <c r="E830" s="3" t="s">
        <v>41</v>
      </c>
      <c r="F830" s="3" t="s">
        <v>21</v>
      </c>
      <c r="G830" s="3">
        <v>48</v>
      </c>
      <c r="H830" s="4">
        <v>2137</v>
      </c>
      <c r="I830" s="4">
        <v>2600</v>
      </c>
      <c r="J830" s="3" t="s">
        <v>22</v>
      </c>
      <c r="K830" s="3" t="s">
        <v>30</v>
      </c>
      <c r="L830">
        <f t="shared" si="75"/>
        <v>2026</v>
      </c>
      <c r="M830">
        <f t="shared" si="72"/>
        <v>8</v>
      </c>
      <c r="N830" t="str">
        <f t="shared" si="73"/>
        <v>Aug</v>
      </c>
      <c r="O830" t="str">
        <f t="shared" si="74"/>
        <v>2026-08</v>
      </c>
      <c r="P830" t="str">
        <f t="shared" si="76"/>
        <v>2026-W34</v>
      </c>
      <c r="Q830" t="str">
        <f t="shared" si="77"/>
        <v>Thu</v>
      </c>
    </row>
    <row r="831" spans="1:17" x14ac:dyDescent="0.3">
      <c r="A831" s="2">
        <v>46255</v>
      </c>
      <c r="B831" s="3" t="s">
        <v>877</v>
      </c>
      <c r="C831" s="3" t="s">
        <v>43</v>
      </c>
      <c r="D831" s="3" t="s">
        <v>26</v>
      </c>
      <c r="E831" s="3" t="s">
        <v>14</v>
      </c>
      <c r="F831" s="3" t="s">
        <v>15</v>
      </c>
      <c r="G831" s="3">
        <v>21</v>
      </c>
      <c r="H831" s="4">
        <v>1278</v>
      </c>
      <c r="I831" s="4">
        <v>1200</v>
      </c>
      <c r="J831" s="3" t="s">
        <v>39</v>
      </c>
      <c r="K831" s="3" t="s">
        <v>36</v>
      </c>
      <c r="L831">
        <f t="shared" si="75"/>
        <v>2026</v>
      </c>
      <c r="M831">
        <f t="shared" si="72"/>
        <v>8</v>
      </c>
      <c r="N831" t="str">
        <f t="shared" si="73"/>
        <v>Aug</v>
      </c>
      <c r="O831" t="str">
        <f t="shared" si="74"/>
        <v>2026-08</v>
      </c>
      <c r="P831" t="str">
        <f t="shared" si="76"/>
        <v>2026-W34</v>
      </c>
      <c r="Q831" t="str">
        <f t="shared" si="77"/>
        <v>Fri</v>
      </c>
    </row>
    <row r="832" spans="1:17" x14ac:dyDescent="0.3">
      <c r="A832" s="2">
        <v>46255</v>
      </c>
      <c r="B832" s="3" t="s">
        <v>878</v>
      </c>
      <c r="C832" s="3" t="s">
        <v>43</v>
      </c>
      <c r="D832" s="3" t="s">
        <v>53</v>
      </c>
      <c r="E832" s="3" t="s">
        <v>41</v>
      </c>
      <c r="F832" s="3" t="s">
        <v>21</v>
      </c>
      <c r="G832" s="3">
        <v>17</v>
      </c>
      <c r="H832" s="4">
        <v>657</v>
      </c>
      <c r="I832" s="4">
        <v>700</v>
      </c>
      <c r="J832" s="3" t="s">
        <v>22</v>
      </c>
      <c r="K832" s="3" t="s">
        <v>36</v>
      </c>
      <c r="L832">
        <f t="shared" si="75"/>
        <v>2026</v>
      </c>
      <c r="M832">
        <f t="shared" si="72"/>
        <v>8</v>
      </c>
      <c r="N832" t="str">
        <f t="shared" si="73"/>
        <v>Aug</v>
      </c>
      <c r="O832" t="str">
        <f t="shared" si="74"/>
        <v>2026-08</v>
      </c>
      <c r="P832" t="str">
        <f t="shared" si="76"/>
        <v>2026-W34</v>
      </c>
      <c r="Q832" t="str">
        <f t="shared" si="77"/>
        <v>Fri</v>
      </c>
    </row>
    <row r="833" spans="1:17" x14ac:dyDescent="0.3">
      <c r="A833" s="2">
        <v>46255</v>
      </c>
      <c r="B833" s="3" t="s">
        <v>879</v>
      </c>
      <c r="C833" s="3" t="s">
        <v>57</v>
      </c>
      <c r="D833" s="3" t="s">
        <v>53</v>
      </c>
      <c r="E833" s="3" t="s">
        <v>58</v>
      </c>
      <c r="F833" s="3" t="s">
        <v>59</v>
      </c>
      <c r="G833" s="3">
        <v>105</v>
      </c>
      <c r="H833" s="4">
        <v>11470</v>
      </c>
      <c r="I833" s="4">
        <v>10900</v>
      </c>
      <c r="J833" s="3" t="s">
        <v>16</v>
      </c>
      <c r="K833" s="3" t="s">
        <v>17</v>
      </c>
      <c r="L833">
        <f t="shared" si="75"/>
        <v>2026</v>
      </c>
      <c r="M833">
        <f t="shared" si="72"/>
        <v>8</v>
      </c>
      <c r="N833" t="str">
        <f t="shared" si="73"/>
        <v>Aug</v>
      </c>
      <c r="O833" t="str">
        <f t="shared" si="74"/>
        <v>2026-08</v>
      </c>
      <c r="P833" t="str">
        <f t="shared" si="76"/>
        <v>2026-W34</v>
      </c>
      <c r="Q833" t="str">
        <f t="shared" si="77"/>
        <v>Fri</v>
      </c>
    </row>
    <row r="834" spans="1:17" x14ac:dyDescent="0.3">
      <c r="A834" s="2">
        <v>46255</v>
      </c>
      <c r="B834" s="3" t="s">
        <v>880</v>
      </c>
      <c r="C834" s="3" t="s">
        <v>32</v>
      </c>
      <c r="D834" s="3" t="s">
        <v>19</v>
      </c>
      <c r="E834" s="3" t="s">
        <v>33</v>
      </c>
      <c r="F834" s="3" t="s">
        <v>34</v>
      </c>
      <c r="G834" s="3">
        <v>118</v>
      </c>
      <c r="H834" s="4">
        <v>8944</v>
      </c>
      <c r="I834" s="4">
        <v>9200</v>
      </c>
      <c r="J834" s="3" t="s">
        <v>22</v>
      </c>
      <c r="K834" s="3" t="s">
        <v>30</v>
      </c>
      <c r="L834">
        <f t="shared" si="75"/>
        <v>2026</v>
      </c>
      <c r="M834">
        <f t="shared" ref="M834:M901" si="78">MONTH($A834)</f>
        <v>8</v>
      </c>
      <c r="N834" t="str">
        <f t="shared" ref="N834:N901" si="79">TEXT($A834,"mmm")</f>
        <v>Aug</v>
      </c>
      <c r="O834" t="str">
        <f t="shared" ref="O834:O901" si="80">YEAR($A834)&amp;"-"&amp;TEXT(MONTH($A834),"00")</f>
        <v>2026-08</v>
      </c>
      <c r="P834" t="str">
        <f t="shared" si="76"/>
        <v>2026-W34</v>
      </c>
      <c r="Q834" t="str">
        <f t="shared" si="77"/>
        <v>Fri</v>
      </c>
    </row>
    <row r="835" spans="1:17" x14ac:dyDescent="0.3">
      <c r="A835" s="2">
        <v>46255</v>
      </c>
      <c r="B835" s="3" t="s">
        <v>881</v>
      </c>
      <c r="C835" s="3" t="s">
        <v>38</v>
      </c>
      <c r="D835" s="3" t="s">
        <v>26</v>
      </c>
      <c r="E835" s="3" t="s">
        <v>68</v>
      </c>
      <c r="F835" s="3" t="s">
        <v>34</v>
      </c>
      <c r="G835" s="3">
        <v>13</v>
      </c>
      <c r="H835" s="4">
        <v>1007</v>
      </c>
      <c r="I835" s="4">
        <v>1000</v>
      </c>
      <c r="J835" s="3" t="s">
        <v>22</v>
      </c>
      <c r="K835" s="3" t="s">
        <v>36</v>
      </c>
      <c r="L835">
        <f t="shared" ref="L835:L898" si="81">YEAR($A835)</f>
        <v>2026</v>
      </c>
      <c r="M835">
        <f t="shared" si="78"/>
        <v>8</v>
      </c>
      <c r="N835" t="str">
        <f t="shared" si="79"/>
        <v>Aug</v>
      </c>
      <c r="O835" t="str">
        <f t="shared" si="80"/>
        <v>2026-08</v>
      </c>
      <c r="P835" t="str">
        <f t="shared" ref="P835:P898" si="82">YEAR($A835)&amp;"-W"&amp;TEXT(WEEKNUM($A835,2),"00")</f>
        <v>2026-W34</v>
      </c>
      <c r="Q835" t="str">
        <f t="shared" ref="Q835:Q898" si="83">CHOOSE(WEEKDAY($A835,2),"Mon","Tue","Wed","Thu","Fri","Sat","Sun")</f>
        <v>Fri</v>
      </c>
    </row>
    <row r="836" spans="1:17" x14ac:dyDescent="0.3">
      <c r="A836" s="2">
        <v>46256</v>
      </c>
      <c r="B836" s="3" t="s">
        <v>882</v>
      </c>
      <c r="C836" s="3" t="s">
        <v>25</v>
      </c>
      <c r="D836" s="3" t="s">
        <v>19</v>
      </c>
      <c r="E836" s="3" t="s">
        <v>14</v>
      </c>
      <c r="F836" s="3" t="s">
        <v>15</v>
      </c>
      <c r="G836" s="3">
        <v>13</v>
      </c>
      <c r="H836" s="4">
        <v>756</v>
      </c>
      <c r="I836" s="4">
        <v>600</v>
      </c>
      <c r="J836" s="3" t="s">
        <v>22</v>
      </c>
      <c r="K836" s="3" t="s">
        <v>17</v>
      </c>
      <c r="L836">
        <f t="shared" si="81"/>
        <v>2026</v>
      </c>
      <c r="M836">
        <f t="shared" si="78"/>
        <v>8</v>
      </c>
      <c r="N836" t="str">
        <f t="shared" si="79"/>
        <v>Aug</v>
      </c>
      <c r="O836" t="str">
        <f t="shared" si="80"/>
        <v>2026-08</v>
      </c>
      <c r="P836" t="str">
        <f t="shared" si="82"/>
        <v>2026-W34</v>
      </c>
      <c r="Q836" t="str">
        <f t="shared" si="83"/>
        <v>Sat</v>
      </c>
    </row>
    <row r="837" spans="1:17" x14ac:dyDescent="0.3">
      <c r="A837" s="2">
        <v>46256</v>
      </c>
      <c r="B837" s="3" t="s">
        <v>883</v>
      </c>
      <c r="C837" s="3" t="s">
        <v>43</v>
      </c>
      <c r="D837" s="3" t="s">
        <v>53</v>
      </c>
      <c r="E837" s="3" t="s">
        <v>14</v>
      </c>
      <c r="F837" s="3" t="s">
        <v>15</v>
      </c>
      <c r="G837" s="3">
        <v>22</v>
      </c>
      <c r="H837" s="4">
        <v>1437</v>
      </c>
      <c r="I837" s="4">
        <v>1500</v>
      </c>
      <c r="J837" s="3" t="s">
        <v>22</v>
      </c>
      <c r="K837" s="3" t="s">
        <v>30</v>
      </c>
      <c r="L837">
        <f t="shared" si="81"/>
        <v>2026</v>
      </c>
      <c r="M837">
        <f t="shared" si="78"/>
        <v>8</v>
      </c>
      <c r="N837" t="str">
        <f t="shared" si="79"/>
        <v>Aug</v>
      </c>
      <c r="O837" t="str">
        <f t="shared" si="80"/>
        <v>2026-08</v>
      </c>
      <c r="P837" t="str">
        <f t="shared" si="82"/>
        <v>2026-W34</v>
      </c>
      <c r="Q837" t="str">
        <f t="shared" si="83"/>
        <v>Sat</v>
      </c>
    </row>
    <row r="838" spans="1:17" x14ac:dyDescent="0.3">
      <c r="A838" s="2">
        <v>46256</v>
      </c>
      <c r="B838" s="3" t="s">
        <v>884</v>
      </c>
      <c r="C838" s="3" t="s">
        <v>38</v>
      </c>
      <c r="D838" s="3" t="s">
        <v>53</v>
      </c>
      <c r="E838" s="3" t="s">
        <v>29</v>
      </c>
      <c r="F838" s="3" t="s">
        <v>21</v>
      </c>
      <c r="G838" s="3">
        <v>72</v>
      </c>
      <c r="H838" s="4">
        <v>3865</v>
      </c>
      <c r="I838" s="4">
        <v>4200</v>
      </c>
      <c r="J838" s="3" t="s">
        <v>22</v>
      </c>
      <c r="K838" s="3" t="s">
        <v>30</v>
      </c>
      <c r="L838">
        <f t="shared" si="81"/>
        <v>2026</v>
      </c>
      <c r="M838">
        <f t="shared" si="78"/>
        <v>8</v>
      </c>
      <c r="N838" t="str">
        <f t="shared" si="79"/>
        <v>Aug</v>
      </c>
      <c r="O838" t="str">
        <f t="shared" si="80"/>
        <v>2026-08</v>
      </c>
      <c r="P838" t="str">
        <f t="shared" si="82"/>
        <v>2026-W34</v>
      </c>
      <c r="Q838" t="str">
        <f t="shared" si="83"/>
        <v>Sat</v>
      </c>
    </row>
    <row r="839" spans="1:17" x14ac:dyDescent="0.3">
      <c r="A839" s="2">
        <v>46257</v>
      </c>
      <c r="B839" s="3" t="s">
        <v>885</v>
      </c>
      <c r="C839" s="3" t="s">
        <v>25</v>
      </c>
      <c r="D839" s="3" t="s">
        <v>65</v>
      </c>
      <c r="E839" s="3" t="s">
        <v>123</v>
      </c>
      <c r="F839" s="3" t="s">
        <v>59</v>
      </c>
      <c r="G839" s="3">
        <v>113</v>
      </c>
      <c r="H839" s="4">
        <v>14797</v>
      </c>
      <c r="I839" s="4">
        <v>17100</v>
      </c>
      <c r="J839" s="3" t="s">
        <v>22</v>
      </c>
      <c r="K839" s="3" t="s">
        <v>30</v>
      </c>
      <c r="L839">
        <f t="shared" si="81"/>
        <v>2026</v>
      </c>
      <c r="M839">
        <f t="shared" si="78"/>
        <v>8</v>
      </c>
      <c r="N839" t="str">
        <f t="shared" si="79"/>
        <v>Aug</v>
      </c>
      <c r="O839" t="str">
        <f t="shared" si="80"/>
        <v>2026-08</v>
      </c>
      <c r="P839" t="str">
        <f t="shared" si="82"/>
        <v>2026-W34</v>
      </c>
      <c r="Q839" t="str">
        <f t="shared" si="83"/>
        <v>Sun</v>
      </c>
    </row>
    <row r="840" spans="1:17" x14ac:dyDescent="0.3">
      <c r="A840" s="2">
        <v>46257</v>
      </c>
      <c r="B840" s="3" t="s">
        <v>886</v>
      </c>
      <c r="C840" s="3" t="s">
        <v>32</v>
      </c>
      <c r="D840" s="3" t="s">
        <v>26</v>
      </c>
      <c r="E840" s="3" t="s">
        <v>14</v>
      </c>
      <c r="F840" s="3" t="s">
        <v>15</v>
      </c>
      <c r="G840" s="3">
        <v>119</v>
      </c>
      <c r="H840" s="4">
        <v>7483</v>
      </c>
      <c r="I840" s="4">
        <v>7500</v>
      </c>
      <c r="J840" s="3" t="s">
        <v>22</v>
      </c>
      <c r="K840" s="3" t="s">
        <v>36</v>
      </c>
      <c r="L840">
        <f t="shared" si="81"/>
        <v>2026</v>
      </c>
      <c r="M840">
        <f t="shared" si="78"/>
        <v>8</v>
      </c>
      <c r="N840" t="str">
        <f t="shared" si="79"/>
        <v>Aug</v>
      </c>
      <c r="O840" t="str">
        <f t="shared" si="80"/>
        <v>2026-08</v>
      </c>
      <c r="P840" t="str">
        <f t="shared" si="82"/>
        <v>2026-W34</v>
      </c>
      <c r="Q840" t="str">
        <f t="shared" si="83"/>
        <v>Sun</v>
      </c>
    </row>
    <row r="841" spans="1:17" x14ac:dyDescent="0.3">
      <c r="A841" s="2">
        <v>46259</v>
      </c>
      <c r="B841" s="3" t="s">
        <v>887</v>
      </c>
      <c r="C841" s="3" t="s">
        <v>25</v>
      </c>
      <c r="D841" s="3" t="s">
        <v>26</v>
      </c>
      <c r="E841" s="3" t="s">
        <v>27</v>
      </c>
      <c r="F841" s="3" t="s">
        <v>15</v>
      </c>
      <c r="G841" s="3">
        <v>21</v>
      </c>
      <c r="H841" s="4">
        <v>1139</v>
      </c>
      <c r="I841" s="4">
        <v>1400</v>
      </c>
      <c r="J841" s="3" t="s">
        <v>22</v>
      </c>
      <c r="K841" s="3" t="s">
        <v>36</v>
      </c>
      <c r="L841">
        <f t="shared" si="81"/>
        <v>2026</v>
      </c>
      <c r="M841">
        <f t="shared" si="78"/>
        <v>8</v>
      </c>
      <c r="N841" t="str">
        <f t="shared" si="79"/>
        <v>Aug</v>
      </c>
      <c r="O841" t="str">
        <f t="shared" si="80"/>
        <v>2026-08</v>
      </c>
      <c r="P841" t="str">
        <f t="shared" si="82"/>
        <v>2026-W35</v>
      </c>
      <c r="Q841" t="str">
        <f t="shared" si="83"/>
        <v>Tue</v>
      </c>
    </row>
    <row r="842" spans="1:17" x14ac:dyDescent="0.3">
      <c r="A842" s="2">
        <v>46259</v>
      </c>
      <c r="B842" s="3" t="s">
        <v>888</v>
      </c>
      <c r="C842" s="3" t="s">
        <v>91</v>
      </c>
      <c r="D842" s="3" t="s">
        <v>19</v>
      </c>
      <c r="E842" s="3" t="s">
        <v>48</v>
      </c>
      <c r="F842" s="3" t="s">
        <v>15</v>
      </c>
      <c r="G842" s="3">
        <v>55</v>
      </c>
      <c r="H842" s="4">
        <v>3205</v>
      </c>
      <c r="I842" s="4">
        <v>3500</v>
      </c>
      <c r="J842" s="3" t="s">
        <v>22</v>
      </c>
      <c r="K842" s="3" t="s">
        <v>23</v>
      </c>
      <c r="L842">
        <f t="shared" si="81"/>
        <v>2026</v>
      </c>
      <c r="M842">
        <f t="shared" si="78"/>
        <v>8</v>
      </c>
      <c r="N842" t="str">
        <f t="shared" si="79"/>
        <v>Aug</v>
      </c>
      <c r="O842" t="str">
        <f t="shared" si="80"/>
        <v>2026-08</v>
      </c>
      <c r="P842" t="str">
        <f t="shared" si="82"/>
        <v>2026-W35</v>
      </c>
      <c r="Q842" t="str">
        <f t="shared" si="83"/>
        <v>Tue</v>
      </c>
    </row>
    <row r="843" spans="1:17" x14ac:dyDescent="0.3">
      <c r="A843" s="2">
        <v>46259</v>
      </c>
      <c r="B843" s="3" t="s">
        <v>889</v>
      </c>
      <c r="C843" s="3" t="s">
        <v>91</v>
      </c>
      <c r="D843" s="3" t="s">
        <v>65</v>
      </c>
      <c r="E843" s="3" t="s">
        <v>41</v>
      </c>
      <c r="F843" s="3" t="s">
        <v>21</v>
      </c>
      <c r="G843" s="3">
        <v>36</v>
      </c>
      <c r="H843" s="4">
        <v>1446</v>
      </c>
      <c r="I843" s="4">
        <v>1200</v>
      </c>
      <c r="J843" s="3" t="s">
        <v>22</v>
      </c>
      <c r="K843" s="3" t="s">
        <v>36</v>
      </c>
      <c r="L843">
        <f t="shared" si="81"/>
        <v>2026</v>
      </c>
      <c r="M843">
        <f t="shared" si="78"/>
        <v>8</v>
      </c>
      <c r="N843" t="str">
        <f t="shared" si="79"/>
        <v>Aug</v>
      </c>
      <c r="O843" t="str">
        <f t="shared" si="80"/>
        <v>2026-08</v>
      </c>
      <c r="P843" t="str">
        <f t="shared" si="82"/>
        <v>2026-W35</v>
      </c>
      <c r="Q843" t="str">
        <f t="shared" si="83"/>
        <v>Tue</v>
      </c>
    </row>
    <row r="844" spans="1:17" x14ac:dyDescent="0.3">
      <c r="A844" s="2">
        <v>46261</v>
      </c>
      <c r="B844" s="3" t="s">
        <v>890</v>
      </c>
      <c r="C844" s="3" t="s">
        <v>57</v>
      </c>
      <c r="D844" s="3" t="s">
        <v>19</v>
      </c>
      <c r="E844" s="3" t="s">
        <v>123</v>
      </c>
      <c r="F844" s="3" t="s">
        <v>59</v>
      </c>
      <c r="G844" s="3">
        <v>50</v>
      </c>
      <c r="H844" s="4">
        <v>5699</v>
      </c>
      <c r="I844" s="4">
        <v>4900</v>
      </c>
      <c r="J844" s="3" t="s">
        <v>22</v>
      </c>
      <c r="K844" s="3" t="s">
        <v>36</v>
      </c>
      <c r="L844">
        <f t="shared" si="81"/>
        <v>2026</v>
      </c>
      <c r="M844">
        <f t="shared" si="78"/>
        <v>8</v>
      </c>
      <c r="N844" t="str">
        <f t="shared" si="79"/>
        <v>Aug</v>
      </c>
      <c r="O844" t="str">
        <f t="shared" si="80"/>
        <v>2026-08</v>
      </c>
      <c r="P844" t="str">
        <f t="shared" si="82"/>
        <v>2026-W35</v>
      </c>
      <c r="Q844" t="str">
        <f t="shared" si="83"/>
        <v>Thu</v>
      </c>
    </row>
    <row r="845" spans="1:17" x14ac:dyDescent="0.3">
      <c r="A845" s="2">
        <v>46261</v>
      </c>
      <c r="B845" s="3" t="s">
        <v>891</v>
      </c>
      <c r="C845" s="3" t="s">
        <v>43</v>
      </c>
      <c r="D845" s="3" t="s">
        <v>19</v>
      </c>
      <c r="E845" s="3" t="s">
        <v>29</v>
      </c>
      <c r="F845" s="3" t="s">
        <v>21</v>
      </c>
      <c r="G845" s="3">
        <v>45</v>
      </c>
      <c r="H845" s="4">
        <v>2288</v>
      </c>
      <c r="I845" s="4">
        <v>2000</v>
      </c>
      <c r="J845" s="3" t="s">
        <v>39</v>
      </c>
      <c r="K845" s="3" t="s">
        <v>36</v>
      </c>
      <c r="L845">
        <f t="shared" si="81"/>
        <v>2026</v>
      </c>
      <c r="M845">
        <f t="shared" si="78"/>
        <v>8</v>
      </c>
      <c r="N845" t="str">
        <f t="shared" si="79"/>
        <v>Aug</v>
      </c>
      <c r="O845" t="str">
        <f t="shared" si="80"/>
        <v>2026-08</v>
      </c>
      <c r="P845" t="str">
        <f t="shared" si="82"/>
        <v>2026-W35</v>
      </c>
      <c r="Q845" t="str">
        <f t="shared" si="83"/>
        <v>Thu</v>
      </c>
    </row>
    <row r="846" spans="1:17" x14ac:dyDescent="0.3">
      <c r="A846" s="2">
        <v>46262</v>
      </c>
      <c r="B846" s="3" t="s">
        <v>892</v>
      </c>
      <c r="C846" s="3" t="s">
        <v>38</v>
      </c>
      <c r="D846" s="3" t="s">
        <v>65</v>
      </c>
      <c r="E846" s="3" t="s">
        <v>44</v>
      </c>
      <c r="F846" s="3" t="s">
        <v>34</v>
      </c>
      <c r="G846" s="3">
        <v>78</v>
      </c>
      <c r="H846" s="4">
        <v>6327</v>
      </c>
      <c r="I846" s="4">
        <v>5200</v>
      </c>
      <c r="J846" s="3" t="s">
        <v>22</v>
      </c>
      <c r="K846" s="3" t="s">
        <v>23</v>
      </c>
      <c r="L846">
        <f t="shared" si="81"/>
        <v>2026</v>
      </c>
      <c r="M846">
        <f t="shared" si="78"/>
        <v>8</v>
      </c>
      <c r="N846" t="str">
        <f t="shared" si="79"/>
        <v>Aug</v>
      </c>
      <c r="O846" t="str">
        <f t="shared" si="80"/>
        <v>2026-08</v>
      </c>
      <c r="P846" t="str">
        <f t="shared" si="82"/>
        <v>2026-W35</v>
      </c>
      <c r="Q846" t="str">
        <f t="shared" si="83"/>
        <v>Fri</v>
      </c>
    </row>
    <row r="847" spans="1:17" x14ac:dyDescent="0.3">
      <c r="A847" s="2">
        <v>46263</v>
      </c>
      <c r="B847" s="3" t="s">
        <v>893</v>
      </c>
      <c r="C847" s="3" t="s">
        <v>38</v>
      </c>
      <c r="D847" s="3" t="s">
        <v>53</v>
      </c>
      <c r="E847" s="3" t="s">
        <v>123</v>
      </c>
      <c r="F847" s="3" t="s">
        <v>59</v>
      </c>
      <c r="G847" s="3">
        <v>20</v>
      </c>
      <c r="H847" s="4">
        <v>2226</v>
      </c>
      <c r="I847" s="4">
        <v>1900</v>
      </c>
      <c r="J847" s="3" t="s">
        <v>22</v>
      </c>
      <c r="K847" s="3" t="s">
        <v>36</v>
      </c>
      <c r="L847">
        <f t="shared" si="81"/>
        <v>2026</v>
      </c>
      <c r="M847">
        <f t="shared" si="78"/>
        <v>8</v>
      </c>
      <c r="N847" t="str">
        <f t="shared" si="79"/>
        <v>Aug</v>
      </c>
      <c r="O847" t="str">
        <f t="shared" si="80"/>
        <v>2026-08</v>
      </c>
      <c r="P847" t="str">
        <f t="shared" si="82"/>
        <v>2026-W35</v>
      </c>
      <c r="Q847" t="str">
        <f t="shared" si="83"/>
        <v>Sat</v>
      </c>
    </row>
    <row r="848" spans="1:17" x14ac:dyDescent="0.3">
      <c r="A848" s="2">
        <v>46265</v>
      </c>
      <c r="B848" s="3" t="s">
        <v>894</v>
      </c>
      <c r="C848" s="3" t="s">
        <v>50</v>
      </c>
      <c r="D848" s="3" t="s">
        <v>47</v>
      </c>
      <c r="E848" s="3" t="s">
        <v>20</v>
      </c>
      <c r="F848" s="3" t="s">
        <v>21</v>
      </c>
      <c r="G848" s="3">
        <v>20</v>
      </c>
      <c r="H848" s="4">
        <v>798</v>
      </c>
      <c r="I848" s="4">
        <v>700</v>
      </c>
      <c r="J848" s="3" t="s">
        <v>22</v>
      </c>
      <c r="K848" s="3" t="s">
        <v>23</v>
      </c>
      <c r="L848">
        <f t="shared" si="81"/>
        <v>2026</v>
      </c>
      <c r="M848">
        <f t="shared" si="78"/>
        <v>8</v>
      </c>
      <c r="N848" t="str">
        <f t="shared" si="79"/>
        <v>Aug</v>
      </c>
      <c r="O848" t="str">
        <f t="shared" si="80"/>
        <v>2026-08</v>
      </c>
      <c r="P848" t="str">
        <f t="shared" si="82"/>
        <v>2026-W36</v>
      </c>
      <c r="Q848" t="str">
        <f t="shared" si="83"/>
        <v>Mon</v>
      </c>
    </row>
    <row r="849" spans="1:17" x14ac:dyDescent="0.3">
      <c r="A849" s="2">
        <v>46266</v>
      </c>
      <c r="B849" s="3" t="s">
        <v>895</v>
      </c>
      <c r="C849" s="3" t="s">
        <v>91</v>
      </c>
      <c r="D849" s="3" t="s">
        <v>53</v>
      </c>
      <c r="E849" s="3" t="s">
        <v>33</v>
      </c>
      <c r="F849" s="3" t="s">
        <v>34</v>
      </c>
      <c r="G849" s="3">
        <v>95</v>
      </c>
      <c r="H849" s="4">
        <v>6897</v>
      </c>
      <c r="I849" s="4">
        <v>5800</v>
      </c>
      <c r="J849" s="3" t="s">
        <v>22</v>
      </c>
      <c r="K849" s="3" t="s">
        <v>17</v>
      </c>
      <c r="L849">
        <f t="shared" si="81"/>
        <v>2026</v>
      </c>
      <c r="M849">
        <f t="shared" si="78"/>
        <v>9</v>
      </c>
      <c r="N849" t="str">
        <f t="shared" si="79"/>
        <v>Sep</v>
      </c>
      <c r="O849" t="str">
        <f t="shared" si="80"/>
        <v>2026-09</v>
      </c>
      <c r="P849" t="str">
        <f t="shared" si="82"/>
        <v>2026-W36</v>
      </c>
      <c r="Q849" t="str">
        <f t="shared" si="83"/>
        <v>Tue</v>
      </c>
    </row>
    <row r="850" spans="1:17" x14ac:dyDescent="0.3">
      <c r="A850" s="2">
        <v>46266</v>
      </c>
      <c r="B850" s="3" t="s">
        <v>896</v>
      </c>
      <c r="C850" s="3" t="s">
        <v>38</v>
      </c>
      <c r="D850" s="3" t="s">
        <v>26</v>
      </c>
      <c r="E850" s="3" t="s">
        <v>29</v>
      </c>
      <c r="F850" s="3" t="s">
        <v>21</v>
      </c>
      <c r="G850" s="3">
        <v>42</v>
      </c>
      <c r="H850" s="4">
        <v>1929</v>
      </c>
      <c r="I850" s="4">
        <v>1700</v>
      </c>
      <c r="J850" s="3" t="s">
        <v>22</v>
      </c>
      <c r="K850" s="3" t="s">
        <v>30</v>
      </c>
      <c r="L850">
        <f t="shared" si="81"/>
        <v>2026</v>
      </c>
      <c r="M850">
        <f t="shared" si="78"/>
        <v>9</v>
      </c>
      <c r="N850" t="str">
        <f t="shared" si="79"/>
        <v>Sep</v>
      </c>
      <c r="O850" t="str">
        <f t="shared" si="80"/>
        <v>2026-09</v>
      </c>
      <c r="P850" t="str">
        <f t="shared" si="82"/>
        <v>2026-W36</v>
      </c>
      <c r="Q850" t="str">
        <f t="shared" si="83"/>
        <v>Tue</v>
      </c>
    </row>
    <row r="851" spans="1:17" x14ac:dyDescent="0.3">
      <c r="A851" s="2">
        <v>46267</v>
      </c>
      <c r="B851" s="3" t="s">
        <v>897</v>
      </c>
      <c r="C851" s="3" t="s">
        <v>25</v>
      </c>
      <c r="D851" s="3" t="s">
        <v>19</v>
      </c>
      <c r="E851" s="3" t="s">
        <v>48</v>
      </c>
      <c r="F851" s="3" t="s">
        <v>15</v>
      </c>
      <c r="G851" s="3">
        <v>55</v>
      </c>
      <c r="H851" s="4">
        <v>3398</v>
      </c>
      <c r="I851" s="4">
        <v>3300</v>
      </c>
      <c r="J851" s="3" t="s">
        <v>16</v>
      </c>
      <c r="K851" s="3" t="s">
        <v>30</v>
      </c>
      <c r="L851">
        <f t="shared" si="81"/>
        <v>2026</v>
      </c>
      <c r="M851">
        <f t="shared" si="78"/>
        <v>9</v>
      </c>
      <c r="N851" t="str">
        <f t="shared" si="79"/>
        <v>Sep</v>
      </c>
      <c r="O851" t="str">
        <f t="shared" si="80"/>
        <v>2026-09</v>
      </c>
      <c r="P851" t="str">
        <f t="shared" si="82"/>
        <v>2026-W36</v>
      </c>
      <c r="Q851" t="str">
        <f t="shared" si="83"/>
        <v>Wed</v>
      </c>
    </row>
    <row r="852" spans="1:17" x14ac:dyDescent="0.3">
      <c r="A852" s="2">
        <v>46267</v>
      </c>
      <c r="B852" s="3" t="s">
        <v>898</v>
      </c>
      <c r="C852" s="3" t="s">
        <v>57</v>
      </c>
      <c r="D852" s="3" t="s">
        <v>53</v>
      </c>
      <c r="E852" s="3" t="s">
        <v>44</v>
      </c>
      <c r="F852" s="3" t="s">
        <v>34</v>
      </c>
      <c r="G852" s="3">
        <v>23</v>
      </c>
      <c r="H852" s="4">
        <v>1780</v>
      </c>
      <c r="I852" s="4">
        <v>1600</v>
      </c>
      <c r="J852" s="3" t="s">
        <v>22</v>
      </c>
      <c r="K852" s="3" t="s">
        <v>30</v>
      </c>
      <c r="L852">
        <f t="shared" si="81"/>
        <v>2026</v>
      </c>
      <c r="M852">
        <f t="shared" si="78"/>
        <v>9</v>
      </c>
      <c r="N852" t="str">
        <f t="shared" si="79"/>
        <v>Sep</v>
      </c>
      <c r="O852" t="str">
        <f t="shared" si="80"/>
        <v>2026-09</v>
      </c>
      <c r="P852" t="str">
        <f t="shared" si="82"/>
        <v>2026-W36</v>
      </c>
      <c r="Q852" t="str">
        <f t="shared" si="83"/>
        <v>Wed</v>
      </c>
    </row>
    <row r="853" spans="1:17" x14ac:dyDescent="0.3">
      <c r="A853" s="2">
        <v>46267</v>
      </c>
      <c r="B853" s="3" t="s">
        <v>899</v>
      </c>
      <c r="C853" s="3" t="s">
        <v>43</v>
      </c>
      <c r="D853" s="3" t="s">
        <v>26</v>
      </c>
      <c r="E853" s="3" t="s">
        <v>48</v>
      </c>
      <c r="F853" s="3" t="s">
        <v>15</v>
      </c>
      <c r="G853" s="3">
        <v>19</v>
      </c>
      <c r="H853" s="4">
        <v>1252</v>
      </c>
      <c r="I853" s="4">
        <v>1100</v>
      </c>
      <c r="J853" s="3" t="s">
        <v>22</v>
      </c>
      <c r="K853" s="3" t="s">
        <v>36</v>
      </c>
      <c r="L853">
        <f t="shared" si="81"/>
        <v>2026</v>
      </c>
      <c r="M853">
        <f t="shared" si="78"/>
        <v>9</v>
      </c>
      <c r="N853" t="str">
        <f t="shared" si="79"/>
        <v>Sep</v>
      </c>
      <c r="O853" t="str">
        <f t="shared" si="80"/>
        <v>2026-09</v>
      </c>
      <c r="P853" t="str">
        <f t="shared" si="82"/>
        <v>2026-W36</v>
      </c>
      <c r="Q853" t="str">
        <f t="shared" si="83"/>
        <v>Wed</v>
      </c>
    </row>
    <row r="854" spans="1:17" x14ac:dyDescent="0.3">
      <c r="A854" s="2">
        <v>46268</v>
      </c>
      <c r="B854" s="3" t="s">
        <v>900</v>
      </c>
      <c r="C854" s="3" t="s">
        <v>25</v>
      </c>
      <c r="D854" s="3" t="s">
        <v>13</v>
      </c>
      <c r="E854" s="3" t="s">
        <v>20</v>
      </c>
      <c r="F854" s="3" t="s">
        <v>21</v>
      </c>
      <c r="G854" s="3">
        <v>78</v>
      </c>
      <c r="H854" s="4">
        <v>3660</v>
      </c>
      <c r="I854" s="4">
        <v>3400</v>
      </c>
      <c r="J854" s="3" t="s">
        <v>22</v>
      </c>
      <c r="K854" s="3" t="s">
        <v>30</v>
      </c>
      <c r="L854">
        <f t="shared" si="81"/>
        <v>2026</v>
      </c>
      <c r="M854">
        <f t="shared" si="78"/>
        <v>9</v>
      </c>
      <c r="N854" t="str">
        <f t="shared" si="79"/>
        <v>Sep</v>
      </c>
      <c r="O854" t="str">
        <f t="shared" si="80"/>
        <v>2026-09</v>
      </c>
      <c r="P854" t="str">
        <f t="shared" si="82"/>
        <v>2026-W36</v>
      </c>
      <c r="Q854" t="str">
        <f t="shared" si="83"/>
        <v>Thu</v>
      </c>
    </row>
    <row r="855" spans="1:17" x14ac:dyDescent="0.3">
      <c r="A855" s="2">
        <v>46268</v>
      </c>
      <c r="B855" s="3" t="s">
        <v>901</v>
      </c>
      <c r="C855" s="3" t="s">
        <v>38</v>
      </c>
      <c r="D855" s="3" t="s">
        <v>19</v>
      </c>
      <c r="E855" s="3" t="s">
        <v>48</v>
      </c>
      <c r="F855" s="3" t="s">
        <v>15</v>
      </c>
      <c r="G855" s="3">
        <v>13</v>
      </c>
      <c r="H855" s="4">
        <v>958</v>
      </c>
      <c r="I855" s="4">
        <v>1000</v>
      </c>
      <c r="J855" s="3" t="s">
        <v>22</v>
      </c>
      <c r="K855" s="3" t="s">
        <v>23</v>
      </c>
      <c r="L855">
        <f t="shared" si="81"/>
        <v>2026</v>
      </c>
      <c r="M855">
        <f t="shared" si="78"/>
        <v>9</v>
      </c>
      <c r="N855" t="str">
        <f t="shared" si="79"/>
        <v>Sep</v>
      </c>
      <c r="O855" t="str">
        <f t="shared" si="80"/>
        <v>2026-09</v>
      </c>
      <c r="P855" t="str">
        <f t="shared" si="82"/>
        <v>2026-W36</v>
      </c>
      <c r="Q855" t="str">
        <f t="shared" si="83"/>
        <v>Thu</v>
      </c>
    </row>
    <row r="856" spans="1:17" x14ac:dyDescent="0.3">
      <c r="A856" s="2">
        <v>46268</v>
      </c>
      <c r="B856" s="3" t="s">
        <v>902</v>
      </c>
      <c r="C856" s="3" t="s">
        <v>32</v>
      </c>
      <c r="D856" s="3" t="s">
        <v>53</v>
      </c>
      <c r="E856" s="3" t="s">
        <v>20</v>
      </c>
      <c r="F856" s="3" t="s">
        <v>21</v>
      </c>
      <c r="G856" s="3">
        <v>94</v>
      </c>
      <c r="H856" s="4">
        <v>4159</v>
      </c>
      <c r="I856" s="4">
        <v>5100</v>
      </c>
      <c r="J856" s="3" t="s">
        <v>22</v>
      </c>
      <c r="K856" s="3" t="s">
        <v>17</v>
      </c>
      <c r="L856">
        <f t="shared" si="81"/>
        <v>2026</v>
      </c>
      <c r="M856">
        <f t="shared" si="78"/>
        <v>9</v>
      </c>
      <c r="N856" t="str">
        <f t="shared" si="79"/>
        <v>Sep</v>
      </c>
      <c r="O856" t="str">
        <f t="shared" si="80"/>
        <v>2026-09</v>
      </c>
      <c r="P856" t="str">
        <f t="shared" si="82"/>
        <v>2026-W36</v>
      </c>
      <c r="Q856" t="str">
        <f t="shared" si="83"/>
        <v>Thu</v>
      </c>
    </row>
    <row r="857" spans="1:17" x14ac:dyDescent="0.3">
      <c r="A857" s="2">
        <v>46268</v>
      </c>
      <c r="B857" s="3" t="s">
        <v>903</v>
      </c>
      <c r="C857" s="3" t="s">
        <v>12</v>
      </c>
      <c r="D857" s="3" t="s">
        <v>47</v>
      </c>
      <c r="E857" s="3" t="s">
        <v>27</v>
      </c>
      <c r="F857" s="3" t="s">
        <v>15</v>
      </c>
      <c r="G857" s="3">
        <v>64</v>
      </c>
      <c r="H857" s="4">
        <v>4369</v>
      </c>
      <c r="I857" s="4">
        <v>4500</v>
      </c>
      <c r="J857" s="3" t="s">
        <v>22</v>
      </c>
      <c r="K857" s="3" t="s">
        <v>30</v>
      </c>
      <c r="L857">
        <f t="shared" si="81"/>
        <v>2026</v>
      </c>
      <c r="M857">
        <f t="shared" si="78"/>
        <v>9</v>
      </c>
      <c r="N857" t="str">
        <f t="shared" si="79"/>
        <v>Sep</v>
      </c>
      <c r="O857" t="str">
        <f t="shared" si="80"/>
        <v>2026-09</v>
      </c>
      <c r="P857" t="str">
        <f t="shared" si="82"/>
        <v>2026-W36</v>
      </c>
      <c r="Q857" t="str">
        <f t="shared" si="83"/>
        <v>Thu</v>
      </c>
    </row>
    <row r="858" spans="1:17" x14ac:dyDescent="0.3">
      <c r="A858" s="2">
        <v>46268</v>
      </c>
      <c r="B858" s="3" t="s">
        <v>904</v>
      </c>
      <c r="C858" s="3" t="s">
        <v>50</v>
      </c>
      <c r="D858" s="3" t="s">
        <v>19</v>
      </c>
      <c r="E858" s="3" t="s">
        <v>29</v>
      </c>
      <c r="F858" s="3" t="s">
        <v>21</v>
      </c>
      <c r="G858" s="3">
        <v>74</v>
      </c>
      <c r="H858" s="4">
        <v>4065</v>
      </c>
      <c r="I858" s="4">
        <v>5000</v>
      </c>
      <c r="J858" s="3" t="s">
        <v>22</v>
      </c>
      <c r="K858" s="3" t="s">
        <v>30</v>
      </c>
      <c r="L858">
        <f t="shared" si="81"/>
        <v>2026</v>
      </c>
      <c r="M858">
        <f t="shared" si="78"/>
        <v>9</v>
      </c>
      <c r="N858" t="str">
        <f t="shared" si="79"/>
        <v>Sep</v>
      </c>
      <c r="O858" t="str">
        <f t="shared" si="80"/>
        <v>2026-09</v>
      </c>
      <c r="P858" t="str">
        <f t="shared" si="82"/>
        <v>2026-W36</v>
      </c>
      <c r="Q858" t="str">
        <f t="shared" si="83"/>
        <v>Thu</v>
      </c>
    </row>
    <row r="859" spans="1:17" x14ac:dyDescent="0.3">
      <c r="A859" s="2">
        <v>46268</v>
      </c>
      <c r="B859" s="3" t="s">
        <v>905</v>
      </c>
      <c r="C859" s="3" t="s">
        <v>25</v>
      </c>
      <c r="D859" s="3" t="s">
        <v>19</v>
      </c>
      <c r="E859" s="3" t="s">
        <v>27</v>
      </c>
      <c r="F859" s="3" t="s">
        <v>15</v>
      </c>
      <c r="G859" s="3">
        <v>85</v>
      </c>
      <c r="H859" s="4">
        <v>5037</v>
      </c>
      <c r="I859" s="4">
        <v>6000</v>
      </c>
      <c r="J859" s="3" t="s">
        <v>22</v>
      </c>
      <c r="K859" s="3" t="s">
        <v>36</v>
      </c>
      <c r="L859">
        <f t="shared" si="81"/>
        <v>2026</v>
      </c>
      <c r="M859">
        <f t="shared" si="78"/>
        <v>9</v>
      </c>
      <c r="N859" t="str">
        <f t="shared" si="79"/>
        <v>Sep</v>
      </c>
      <c r="O859" t="str">
        <f t="shared" si="80"/>
        <v>2026-09</v>
      </c>
      <c r="P859" t="str">
        <f t="shared" si="82"/>
        <v>2026-W36</v>
      </c>
      <c r="Q859" t="str">
        <f t="shared" si="83"/>
        <v>Thu</v>
      </c>
    </row>
    <row r="860" spans="1:17" x14ac:dyDescent="0.3">
      <c r="A860" s="2">
        <v>46269</v>
      </c>
      <c r="B860" s="3" t="s">
        <v>906</v>
      </c>
      <c r="C860" s="3" t="s">
        <v>38</v>
      </c>
      <c r="D860" s="3" t="s">
        <v>26</v>
      </c>
      <c r="E860" s="3" t="s">
        <v>27</v>
      </c>
      <c r="F860" s="3" t="s">
        <v>15</v>
      </c>
      <c r="G860" s="3">
        <v>113</v>
      </c>
      <c r="H860" s="4">
        <v>6134</v>
      </c>
      <c r="I860" s="4">
        <v>7400</v>
      </c>
      <c r="J860" s="3" t="s">
        <v>22</v>
      </c>
      <c r="K860" s="3" t="s">
        <v>36</v>
      </c>
      <c r="L860">
        <f t="shared" si="81"/>
        <v>2026</v>
      </c>
      <c r="M860">
        <f t="shared" si="78"/>
        <v>9</v>
      </c>
      <c r="N860" t="str">
        <f t="shared" si="79"/>
        <v>Sep</v>
      </c>
      <c r="O860" t="str">
        <f t="shared" si="80"/>
        <v>2026-09</v>
      </c>
      <c r="P860" t="str">
        <f t="shared" si="82"/>
        <v>2026-W36</v>
      </c>
      <c r="Q860" t="str">
        <f t="shared" si="83"/>
        <v>Fri</v>
      </c>
    </row>
    <row r="861" spans="1:17" x14ac:dyDescent="0.3">
      <c r="A861" s="2">
        <v>46269</v>
      </c>
      <c r="B861" s="3" t="s">
        <v>907</v>
      </c>
      <c r="C861" s="3" t="s">
        <v>32</v>
      </c>
      <c r="D861" s="3" t="s">
        <v>19</v>
      </c>
      <c r="E861" s="3" t="s">
        <v>41</v>
      </c>
      <c r="F861" s="3" t="s">
        <v>21</v>
      </c>
      <c r="G861" s="3">
        <v>81</v>
      </c>
      <c r="H861" s="4">
        <v>3553</v>
      </c>
      <c r="I861" s="4">
        <v>3500</v>
      </c>
      <c r="J861" s="3" t="s">
        <v>22</v>
      </c>
      <c r="K861" s="3" t="s">
        <v>30</v>
      </c>
      <c r="L861">
        <f t="shared" si="81"/>
        <v>2026</v>
      </c>
      <c r="M861">
        <f t="shared" si="78"/>
        <v>9</v>
      </c>
      <c r="N861" t="str">
        <f t="shared" si="79"/>
        <v>Sep</v>
      </c>
      <c r="O861" t="str">
        <f t="shared" si="80"/>
        <v>2026-09</v>
      </c>
      <c r="P861" t="str">
        <f t="shared" si="82"/>
        <v>2026-W36</v>
      </c>
      <c r="Q861" t="str">
        <f t="shared" si="83"/>
        <v>Fri</v>
      </c>
    </row>
    <row r="862" spans="1:17" x14ac:dyDescent="0.3">
      <c r="A862" s="2">
        <v>46269</v>
      </c>
      <c r="B862" s="3" t="s">
        <v>908</v>
      </c>
      <c r="C862" s="3" t="s">
        <v>91</v>
      </c>
      <c r="D862" s="3" t="s">
        <v>65</v>
      </c>
      <c r="E862" s="3" t="s">
        <v>68</v>
      </c>
      <c r="F862" s="3" t="s">
        <v>34</v>
      </c>
      <c r="G862" s="3">
        <v>102</v>
      </c>
      <c r="H862" s="4">
        <v>7384</v>
      </c>
      <c r="I862" s="4">
        <v>6700</v>
      </c>
      <c r="J862" s="3" t="s">
        <v>39</v>
      </c>
      <c r="K862" s="3" t="s">
        <v>36</v>
      </c>
      <c r="L862">
        <f t="shared" si="81"/>
        <v>2026</v>
      </c>
      <c r="M862">
        <f t="shared" si="78"/>
        <v>9</v>
      </c>
      <c r="N862" t="str">
        <f t="shared" si="79"/>
        <v>Sep</v>
      </c>
      <c r="O862" t="str">
        <f t="shared" si="80"/>
        <v>2026-09</v>
      </c>
      <c r="P862" t="str">
        <f t="shared" si="82"/>
        <v>2026-W36</v>
      </c>
      <c r="Q862" t="str">
        <f t="shared" si="83"/>
        <v>Fri</v>
      </c>
    </row>
    <row r="863" spans="1:17" x14ac:dyDescent="0.3">
      <c r="A863" s="2">
        <v>46270</v>
      </c>
      <c r="B863" s="3" t="s">
        <v>909</v>
      </c>
      <c r="C863" s="3" t="s">
        <v>25</v>
      </c>
      <c r="D863" s="3" t="s">
        <v>13</v>
      </c>
      <c r="E863" s="3" t="s">
        <v>33</v>
      </c>
      <c r="F863" s="3" t="s">
        <v>34</v>
      </c>
      <c r="G863" s="3">
        <v>9</v>
      </c>
      <c r="H863" s="4">
        <v>595</v>
      </c>
      <c r="I863" s="4">
        <v>600</v>
      </c>
      <c r="J863" s="3" t="s">
        <v>22</v>
      </c>
      <c r="K863" s="3" t="s">
        <v>36</v>
      </c>
      <c r="L863">
        <f t="shared" si="81"/>
        <v>2026</v>
      </c>
      <c r="M863">
        <f t="shared" si="78"/>
        <v>9</v>
      </c>
      <c r="N863" t="str">
        <f t="shared" si="79"/>
        <v>Sep</v>
      </c>
      <c r="O863" t="str">
        <f t="shared" si="80"/>
        <v>2026-09</v>
      </c>
      <c r="P863" t="str">
        <f t="shared" si="82"/>
        <v>2026-W36</v>
      </c>
      <c r="Q863" t="str">
        <f t="shared" si="83"/>
        <v>Sat</v>
      </c>
    </row>
    <row r="864" spans="1:17" x14ac:dyDescent="0.3">
      <c r="A864" s="2">
        <v>46270</v>
      </c>
      <c r="B864" s="3" t="s">
        <v>910</v>
      </c>
      <c r="C864" s="3" t="s">
        <v>57</v>
      </c>
      <c r="D864" s="3" t="s">
        <v>26</v>
      </c>
      <c r="E864" s="3" t="s">
        <v>27</v>
      </c>
      <c r="F864" s="3" t="s">
        <v>15</v>
      </c>
      <c r="G864" s="3">
        <v>65</v>
      </c>
      <c r="H864" s="4">
        <v>4416</v>
      </c>
      <c r="I864" s="4">
        <v>5100</v>
      </c>
      <c r="J864" s="3" t="s">
        <v>22</v>
      </c>
      <c r="K864" s="3" t="s">
        <v>17</v>
      </c>
      <c r="L864">
        <f t="shared" si="81"/>
        <v>2026</v>
      </c>
      <c r="M864">
        <f t="shared" si="78"/>
        <v>9</v>
      </c>
      <c r="N864" t="str">
        <f t="shared" si="79"/>
        <v>Sep</v>
      </c>
      <c r="O864" t="str">
        <f t="shared" si="80"/>
        <v>2026-09</v>
      </c>
      <c r="P864" t="str">
        <f t="shared" si="82"/>
        <v>2026-W36</v>
      </c>
      <c r="Q864" t="str">
        <f t="shared" si="83"/>
        <v>Sat</v>
      </c>
    </row>
    <row r="865" spans="1:17" x14ac:dyDescent="0.3">
      <c r="A865" s="2">
        <v>46270</v>
      </c>
      <c r="B865" s="3" t="s">
        <v>911</v>
      </c>
      <c r="C865" s="3" t="s">
        <v>57</v>
      </c>
      <c r="D865" s="3" t="s">
        <v>26</v>
      </c>
      <c r="E865" s="3" t="s">
        <v>48</v>
      </c>
      <c r="F865" s="3" t="s">
        <v>15</v>
      </c>
      <c r="G865" s="3">
        <v>30</v>
      </c>
      <c r="H865" s="4">
        <v>1922</v>
      </c>
      <c r="I865" s="4">
        <v>2100</v>
      </c>
      <c r="J865" s="3" t="s">
        <v>22</v>
      </c>
      <c r="K865" s="3" t="s">
        <v>36</v>
      </c>
      <c r="L865">
        <f t="shared" si="81"/>
        <v>2026</v>
      </c>
      <c r="M865">
        <f t="shared" si="78"/>
        <v>9</v>
      </c>
      <c r="N865" t="str">
        <f t="shared" si="79"/>
        <v>Sep</v>
      </c>
      <c r="O865" t="str">
        <f t="shared" si="80"/>
        <v>2026-09</v>
      </c>
      <c r="P865" t="str">
        <f t="shared" si="82"/>
        <v>2026-W36</v>
      </c>
      <c r="Q865" t="str">
        <f t="shared" si="83"/>
        <v>Sat</v>
      </c>
    </row>
    <row r="866" spans="1:17" x14ac:dyDescent="0.3">
      <c r="A866" s="2">
        <v>46272</v>
      </c>
      <c r="B866" s="3" t="s">
        <v>912</v>
      </c>
      <c r="C866" s="3" t="s">
        <v>50</v>
      </c>
      <c r="D866" s="3" t="s">
        <v>19</v>
      </c>
      <c r="E866" s="3" t="s">
        <v>33</v>
      </c>
      <c r="F866" s="3" t="s">
        <v>34</v>
      </c>
      <c r="G866" s="3">
        <v>65</v>
      </c>
      <c r="H866" s="4">
        <v>5147</v>
      </c>
      <c r="I866" s="4">
        <v>6000</v>
      </c>
      <c r="J866" s="3" t="s">
        <v>16</v>
      </c>
      <c r="K866" s="3" t="s">
        <v>30</v>
      </c>
      <c r="L866">
        <f t="shared" si="81"/>
        <v>2026</v>
      </c>
      <c r="M866">
        <f t="shared" si="78"/>
        <v>9</v>
      </c>
      <c r="N866" t="str">
        <f t="shared" si="79"/>
        <v>Sep</v>
      </c>
      <c r="O866" t="str">
        <f t="shared" si="80"/>
        <v>2026-09</v>
      </c>
      <c r="P866" t="str">
        <f t="shared" si="82"/>
        <v>2026-W37</v>
      </c>
      <c r="Q866" t="str">
        <f t="shared" si="83"/>
        <v>Mon</v>
      </c>
    </row>
    <row r="867" spans="1:17" x14ac:dyDescent="0.3">
      <c r="A867" s="2">
        <v>46272</v>
      </c>
      <c r="B867" s="3" t="s">
        <v>913</v>
      </c>
      <c r="C867" s="3" t="s">
        <v>57</v>
      </c>
      <c r="D867" s="3" t="s">
        <v>65</v>
      </c>
      <c r="E867" s="3" t="s">
        <v>20</v>
      </c>
      <c r="F867" s="3" t="s">
        <v>21</v>
      </c>
      <c r="G867" s="3">
        <v>46</v>
      </c>
      <c r="H867" s="4">
        <v>2287</v>
      </c>
      <c r="I867" s="4">
        <v>2700</v>
      </c>
      <c r="J867" s="3" t="s">
        <v>22</v>
      </c>
      <c r="K867" s="3" t="s">
        <v>17</v>
      </c>
      <c r="L867">
        <f t="shared" si="81"/>
        <v>2026</v>
      </c>
      <c r="M867">
        <f t="shared" si="78"/>
        <v>9</v>
      </c>
      <c r="N867" t="str">
        <f t="shared" si="79"/>
        <v>Sep</v>
      </c>
      <c r="O867" t="str">
        <f t="shared" si="80"/>
        <v>2026-09</v>
      </c>
      <c r="P867" t="str">
        <f t="shared" si="82"/>
        <v>2026-W37</v>
      </c>
      <c r="Q867" t="str">
        <f t="shared" si="83"/>
        <v>Mon</v>
      </c>
    </row>
    <row r="868" spans="1:17" x14ac:dyDescent="0.3">
      <c r="A868" s="2">
        <v>46272</v>
      </c>
      <c r="B868" s="3" t="s">
        <v>914</v>
      </c>
      <c r="C868" s="3" t="s">
        <v>12</v>
      </c>
      <c r="D868" s="3" t="s">
        <v>47</v>
      </c>
      <c r="E868" s="3" t="s">
        <v>41</v>
      </c>
      <c r="F868" s="3" t="s">
        <v>21</v>
      </c>
      <c r="G868" s="3">
        <v>42</v>
      </c>
      <c r="H868" s="4">
        <v>1872</v>
      </c>
      <c r="I868" s="4">
        <v>1800</v>
      </c>
      <c r="J868" s="3" t="s">
        <v>22</v>
      </c>
      <c r="K868" s="3" t="s">
        <v>17</v>
      </c>
      <c r="L868">
        <f t="shared" si="81"/>
        <v>2026</v>
      </c>
      <c r="M868">
        <f t="shared" si="78"/>
        <v>9</v>
      </c>
      <c r="N868" t="str">
        <f t="shared" si="79"/>
        <v>Sep</v>
      </c>
      <c r="O868" t="str">
        <f t="shared" si="80"/>
        <v>2026-09</v>
      </c>
      <c r="P868" t="str">
        <f t="shared" si="82"/>
        <v>2026-W37</v>
      </c>
      <c r="Q868" t="str">
        <f t="shared" si="83"/>
        <v>Mon</v>
      </c>
    </row>
    <row r="869" spans="1:17" x14ac:dyDescent="0.3">
      <c r="A869" s="2">
        <v>46272</v>
      </c>
      <c r="B869" s="3" t="s">
        <v>915</v>
      </c>
      <c r="C869" s="3" t="s">
        <v>43</v>
      </c>
      <c r="D869" s="3" t="s">
        <v>19</v>
      </c>
      <c r="E869" s="3" t="s">
        <v>20</v>
      </c>
      <c r="F869" s="3" t="s">
        <v>21</v>
      </c>
      <c r="G869" s="3">
        <v>14</v>
      </c>
      <c r="H869" s="4">
        <v>550</v>
      </c>
      <c r="I869" s="4">
        <v>500</v>
      </c>
      <c r="J869" s="3" t="s">
        <v>22</v>
      </c>
      <c r="K869" s="3" t="s">
        <v>36</v>
      </c>
      <c r="L869">
        <f t="shared" si="81"/>
        <v>2026</v>
      </c>
      <c r="M869">
        <f t="shared" si="78"/>
        <v>9</v>
      </c>
      <c r="N869" t="str">
        <f t="shared" si="79"/>
        <v>Sep</v>
      </c>
      <c r="O869" t="str">
        <f t="shared" si="80"/>
        <v>2026-09</v>
      </c>
      <c r="P869" t="str">
        <f t="shared" si="82"/>
        <v>2026-W37</v>
      </c>
      <c r="Q869" t="str">
        <f t="shared" si="83"/>
        <v>Mon</v>
      </c>
    </row>
    <row r="870" spans="1:17" x14ac:dyDescent="0.3">
      <c r="A870" s="2">
        <v>46273</v>
      </c>
      <c r="B870" s="3" t="s">
        <v>916</v>
      </c>
      <c r="C870" s="3" t="s">
        <v>38</v>
      </c>
      <c r="D870" s="3" t="s">
        <v>47</v>
      </c>
      <c r="E870" s="3" t="s">
        <v>27</v>
      </c>
      <c r="F870" s="3" t="s">
        <v>15</v>
      </c>
      <c r="G870" s="3">
        <v>48</v>
      </c>
      <c r="H870" s="4">
        <v>3345</v>
      </c>
      <c r="I870" s="4">
        <v>3300</v>
      </c>
      <c r="J870" s="3" t="s">
        <v>22</v>
      </c>
      <c r="K870" s="3" t="s">
        <v>36</v>
      </c>
      <c r="L870">
        <f t="shared" si="81"/>
        <v>2026</v>
      </c>
      <c r="M870">
        <f t="shared" si="78"/>
        <v>9</v>
      </c>
      <c r="N870" t="str">
        <f t="shared" si="79"/>
        <v>Sep</v>
      </c>
      <c r="O870" t="str">
        <f t="shared" si="80"/>
        <v>2026-09</v>
      </c>
      <c r="P870" t="str">
        <f t="shared" si="82"/>
        <v>2026-W37</v>
      </c>
      <c r="Q870" t="str">
        <f t="shared" si="83"/>
        <v>Tue</v>
      </c>
    </row>
    <row r="871" spans="1:17" x14ac:dyDescent="0.3">
      <c r="A871" s="2">
        <v>46273</v>
      </c>
      <c r="B871" s="3" t="s">
        <v>917</v>
      </c>
      <c r="C871" s="3" t="s">
        <v>38</v>
      </c>
      <c r="D871" s="3" t="s">
        <v>19</v>
      </c>
      <c r="E871" s="3" t="s">
        <v>44</v>
      </c>
      <c r="F871" s="3" t="s">
        <v>34</v>
      </c>
      <c r="G871" s="3">
        <v>89</v>
      </c>
      <c r="H871" s="4">
        <v>6704</v>
      </c>
      <c r="I871" s="4">
        <v>7600</v>
      </c>
      <c r="J871" s="3" t="s">
        <v>22</v>
      </c>
      <c r="K871" s="3" t="s">
        <v>36</v>
      </c>
      <c r="L871">
        <f t="shared" si="81"/>
        <v>2026</v>
      </c>
      <c r="M871">
        <f t="shared" si="78"/>
        <v>9</v>
      </c>
      <c r="N871" t="str">
        <f t="shared" si="79"/>
        <v>Sep</v>
      </c>
      <c r="O871" t="str">
        <f t="shared" si="80"/>
        <v>2026-09</v>
      </c>
      <c r="P871" t="str">
        <f t="shared" si="82"/>
        <v>2026-W37</v>
      </c>
      <c r="Q871" t="str">
        <f t="shared" si="83"/>
        <v>Tue</v>
      </c>
    </row>
    <row r="872" spans="1:17" x14ac:dyDescent="0.3">
      <c r="A872" s="2">
        <v>46273</v>
      </c>
      <c r="B872" s="3" t="s">
        <v>918</v>
      </c>
      <c r="C872" s="3" t="s">
        <v>91</v>
      </c>
      <c r="D872" s="3" t="s">
        <v>19</v>
      </c>
      <c r="E872" s="3" t="s">
        <v>27</v>
      </c>
      <c r="F872" s="3" t="s">
        <v>15</v>
      </c>
      <c r="G872" s="3">
        <v>81</v>
      </c>
      <c r="H872" s="4">
        <v>4556</v>
      </c>
      <c r="I872" s="4">
        <v>4700</v>
      </c>
      <c r="J872" s="3" t="s">
        <v>22</v>
      </c>
      <c r="K872" s="3" t="s">
        <v>36</v>
      </c>
      <c r="L872">
        <f t="shared" si="81"/>
        <v>2026</v>
      </c>
      <c r="M872">
        <f t="shared" si="78"/>
        <v>9</v>
      </c>
      <c r="N872" t="str">
        <f t="shared" si="79"/>
        <v>Sep</v>
      </c>
      <c r="O872" t="str">
        <f t="shared" si="80"/>
        <v>2026-09</v>
      </c>
      <c r="P872" t="str">
        <f t="shared" si="82"/>
        <v>2026-W37</v>
      </c>
      <c r="Q872" t="str">
        <f t="shared" si="83"/>
        <v>Tue</v>
      </c>
    </row>
    <row r="873" spans="1:17" x14ac:dyDescent="0.3">
      <c r="A873" s="2">
        <v>46274</v>
      </c>
      <c r="B873" s="3" t="s">
        <v>919</v>
      </c>
      <c r="C873" s="3" t="s">
        <v>12</v>
      </c>
      <c r="D873" s="3" t="s">
        <v>26</v>
      </c>
      <c r="E873" s="3" t="s">
        <v>58</v>
      </c>
      <c r="F873" s="3" t="s">
        <v>59</v>
      </c>
      <c r="G873" s="3">
        <v>90</v>
      </c>
      <c r="H873" s="4">
        <v>11397</v>
      </c>
      <c r="I873" s="4">
        <v>10500</v>
      </c>
      <c r="J873" s="3" t="s">
        <v>16</v>
      </c>
      <c r="K873" s="3" t="s">
        <v>36</v>
      </c>
      <c r="L873">
        <f t="shared" si="81"/>
        <v>2026</v>
      </c>
      <c r="M873">
        <f t="shared" si="78"/>
        <v>9</v>
      </c>
      <c r="N873" t="str">
        <f t="shared" si="79"/>
        <v>Sep</v>
      </c>
      <c r="O873" t="str">
        <f t="shared" si="80"/>
        <v>2026-09</v>
      </c>
      <c r="P873" t="str">
        <f t="shared" si="82"/>
        <v>2026-W37</v>
      </c>
      <c r="Q873" t="str">
        <f t="shared" si="83"/>
        <v>Wed</v>
      </c>
    </row>
    <row r="874" spans="1:17" x14ac:dyDescent="0.3">
      <c r="A874" s="2">
        <v>46275</v>
      </c>
      <c r="B874" s="3" t="s">
        <v>920</v>
      </c>
      <c r="C874" s="3" t="s">
        <v>43</v>
      </c>
      <c r="D874" s="3" t="s">
        <v>26</v>
      </c>
      <c r="E874" s="3" t="s">
        <v>14</v>
      </c>
      <c r="F874" s="3" t="s">
        <v>15</v>
      </c>
      <c r="G874" s="3">
        <v>53</v>
      </c>
      <c r="H874" s="4">
        <v>3308</v>
      </c>
      <c r="I874" s="4">
        <v>2800</v>
      </c>
      <c r="J874" s="3" t="s">
        <v>22</v>
      </c>
      <c r="K874" s="3" t="s">
        <v>17</v>
      </c>
      <c r="L874">
        <f t="shared" si="81"/>
        <v>2026</v>
      </c>
      <c r="M874">
        <f t="shared" si="78"/>
        <v>9</v>
      </c>
      <c r="N874" t="str">
        <f t="shared" si="79"/>
        <v>Sep</v>
      </c>
      <c r="O874" t="str">
        <f t="shared" si="80"/>
        <v>2026-09</v>
      </c>
      <c r="P874" t="str">
        <f t="shared" si="82"/>
        <v>2026-W37</v>
      </c>
      <c r="Q874" t="str">
        <f t="shared" si="83"/>
        <v>Thu</v>
      </c>
    </row>
    <row r="875" spans="1:17" x14ac:dyDescent="0.3">
      <c r="A875" s="2">
        <v>46276</v>
      </c>
      <c r="B875" s="3" t="s">
        <v>921</v>
      </c>
      <c r="C875" s="3" t="s">
        <v>57</v>
      </c>
      <c r="D875" s="3" t="s">
        <v>26</v>
      </c>
      <c r="E875" s="3" t="s">
        <v>48</v>
      </c>
      <c r="F875" s="3" t="s">
        <v>15</v>
      </c>
      <c r="G875" s="3">
        <v>119</v>
      </c>
      <c r="H875" s="4">
        <v>8315</v>
      </c>
      <c r="I875" s="4">
        <v>7000</v>
      </c>
      <c r="J875" s="3" t="s">
        <v>22</v>
      </c>
      <c r="K875" s="3" t="s">
        <v>30</v>
      </c>
      <c r="L875">
        <f t="shared" si="81"/>
        <v>2026</v>
      </c>
      <c r="M875">
        <f t="shared" si="78"/>
        <v>9</v>
      </c>
      <c r="N875" t="str">
        <f t="shared" si="79"/>
        <v>Sep</v>
      </c>
      <c r="O875" t="str">
        <f t="shared" si="80"/>
        <v>2026-09</v>
      </c>
      <c r="P875" t="str">
        <f t="shared" si="82"/>
        <v>2026-W37</v>
      </c>
      <c r="Q875" t="str">
        <f t="shared" si="83"/>
        <v>Fri</v>
      </c>
    </row>
    <row r="876" spans="1:17" x14ac:dyDescent="0.3">
      <c r="A876" s="2">
        <v>46276</v>
      </c>
      <c r="B876" s="3" t="s">
        <v>922</v>
      </c>
      <c r="C876" s="3" t="s">
        <v>43</v>
      </c>
      <c r="D876" s="3" t="s">
        <v>26</v>
      </c>
      <c r="E876" s="3" t="s">
        <v>20</v>
      </c>
      <c r="F876" s="3" t="s">
        <v>21</v>
      </c>
      <c r="G876" s="3">
        <v>29</v>
      </c>
      <c r="H876" s="4">
        <v>1224</v>
      </c>
      <c r="I876" s="4">
        <v>1200</v>
      </c>
      <c r="J876" s="3" t="s">
        <v>22</v>
      </c>
      <c r="K876" s="3" t="s">
        <v>23</v>
      </c>
      <c r="L876">
        <f t="shared" si="81"/>
        <v>2026</v>
      </c>
      <c r="M876">
        <f t="shared" si="78"/>
        <v>9</v>
      </c>
      <c r="N876" t="str">
        <f t="shared" si="79"/>
        <v>Sep</v>
      </c>
      <c r="O876" t="str">
        <f t="shared" si="80"/>
        <v>2026-09</v>
      </c>
      <c r="P876" t="str">
        <f t="shared" si="82"/>
        <v>2026-W37</v>
      </c>
      <c r="Q876" t="str">
        <f t="shared" si="83"/>
        <v>Fri</v>
      </c>
    </row>
    <row r="877" spans="1:17" x14ac:dyDescent="0.3">
      <c r="A877" s="2">
        <v>46276</v>
      </c>
      <c r="B877" s="3" t="s">
        <v>923</v>
      </c>
      <c r="C877" s="3" t="s">
        <v>12</v>
      </c>
      <c r="D877" s="3" t="s">
        <v>19</v>
      </c>
      <c r="E877" s="3" t="s">
        <v>44</v>
      </c>
      <c r="F877" s="3" t="s">
        <v>34</v>
      </c>
      <c r="G877" s="3">
        <v>106</v>
      </c>
      <c r="H877" s="4">
        <v>6945</v>
      </c>
      <c r="I877" s="4">
        <v>7700</v>
      </c>
      <c r="J877" s="3" t="s">
        <v>22</v>
      </c>
      <c r="K877" s="3" t="s">
        <v>30</v>
      </c>
      <c r="L877">
        <f t="shared" si="81"/>
        <v>2026</v>
      </c>
      <c r="M877">
        <f t="shared" si="78"/>
        <v>9</v>
      </c>
      <c r="N877" t="str">
        <f t="shared" si="79"/>
        <v>Sep</v>
      </c>
      <c r="O877" t="str">
        <f t="shared" si="80"/>
        <v>2026-09</v>
      </c>
      <c r="P877" t="str">
        <f t="shared" si="82"/>
        <v>2026-W37</v>
      </c>
      <c r="Q877" t="str">
        <f t="shared" si="83"/>
        <v>Fri</v>
      </c>
    </row>
    <row r="878" spans="1:17" x14ac:dyDescent="0.3">
      <c r="A878" s="2">
        <v>46277</v>
      </c>
      <c r="B878" s="3" t="s">
        <v>924</v>
      </c>
      <c r="C878" s="3" t="s">
        <v>38</v>
      </c>
      <c r="D878" s="3" t="s">
        <v>65</v>
      </c>
      <c r="E878" s="3" t="s">
        <v>58</v>
      </c>
      <c r="F878" s="3" t="s">
        <v>59</v>
      </c>
      <c r="G878" s="3">
        <v>44</v>
      </c>
      <c r="H878" s="4">
        <v>5604</v>
      </c>
      <c r="I878" s="4">
        <v>5200</v>
      </c>
      <c r="J878" s="3" t="s">
        <v>22</v>
      </c>
      <c r="K878" s="3" t="s">
        <v>36</v>
      </c>
      <c r="L878">
        <f t="shared" si="81"/>
        <v>2026</v>
      </c>
      <c r="M878">
        <f t="shared" si="78"/>
        <v>9</v>
      </c>
      <c r="N878" t="str">
        <f t="shared" si="79"/>
        <v>Sep</v>
      </c>
      <c r="O878" t="str">
        <f t="shared" si="80"/>
        <v>2026-09</v>
      </c>
      <c r="P878" t="str">
        <f t="shared" si="82"/>
        <v>2026-W37</v>
      </c>
      <c r="Q878" t="str">
        <f t="shared" si="83"/>
        <v>Sat</v>
      </c>
    </row>
    <row r="879" spans="1:17" x14ac:dyDescent="0.3">
      <c r="A879" s="2">
        <v>46278</v>
      </c>
      <c r="B879" s="3" t="s">
        <v>925</v>
      </c>
      <c r="C879" s="3" t="s">
        <v>57</v>
      </c>
      <c r="D879" s="3" t="s">
        <v>19</v>
      </c>
      <c r="E879" s="3" t="s">
        <v>41</v>
      </c>
      <c r="F879" s="3" t="s">
        <v>21</v>
      </c>
      <c r="G879" s="3">
        <v>63</v>
      </c>
      <c r="H879" s="4">
        <v>2645</v>
      </c>
      <c r="I879" s="4">
        <v>3300</v>
      </c>
      <c r="J879" s="3" t="s">
        <v>22</v>
      </c>
      <c r="K879" s="3" t="s">
        <v>23</v>
      </c>
      <c r="L879">
        <f t="shared" si="81"/>
        <v>2026</v>
      </c>
      <c r="M879">
        <f t="shared" si="78"/>
        <v>9</v>
      </c>
      <c r="N879" t="str">
        <f t="shared" si="79"/>
        <v>Sep</v>
      </c>
      <c r="O879" t="str">
        <f t="shared" si="80"/>
        <v>2026-09</v>
      </c>
      <c r="P879" t="str">
        <f t="shared" si="82"/>
        <v>2026-W37</v>
      </c>
      <c r="Q879" t="str">
        <f t="shared" si="83"/>
        <v>Sun</v>
      </c>
    </row>
    <row r="880" spans="1:17" x14ac:dyDescent="0.3">
      <c r="A880" s="2">
        <v>46278</v>
      </c>
      <c r="B880" s="3" t="s">
        <v>926</v>
      </c>
      <c r="C880" s="3" t="s">
        <v>32</v>
      </c>
      <c r="D880" s="3" t="s">
        <v>47</v>
      </c>
      <c r="E880" s="3" t="s">
        <v>14</v>
      </c>
      <c r="F880" s="3" t="s">
        <v>15</v>
      </c>
      <c r="G880" s="3">
        <v>22</v>
      </c>
      <c r="H880" s="4">
        <v>1374</v>
      </c>
      <c r="I880" s="4">
        <v>1300</v>
      </c>
      <c r="J880" s="3" t="s">
        <v>22</v>
      </c>
      <c r="K880" s="3" t="s">
        <v>23</v>
      </c>
      <c r="L880">
        <f t="shared" si="81"/>
        <v>2026</v>
      </c>
      <c r="M880">
        <f t="shared" si="78"/>
        <v>9</v>
      </c>
      <c r="N880" t="str">
        <f t="shared" si="79"/>
        <v>Sep</v>
      </c>
      <c r="O880" t="str">
        <f t="shared" si="80"/>
        <v>2026-09</v>
      </c>
      <c r="P880" t="str">
        <f t="shared" si="82"/>
        <v>2026-W37</v>
      </c>
      <c r="Q880" t="str">
        <f t="shared" si="83"/>
        <v>Sun</v>
      </c>
    </row>
    <row r="881" spans="1:17" x14ac:dyDescent="0.3">
      <c r="A881" s="2">
        <v>46279</v>
      </c>
      <c r="B881" s="3" t="s">
        <v>927</v>
      </c>
      <c r="C881" s="3" t="s">
        <v>43</v>
      </c>
      <c r="D881" s="3" t="s">
        <v>53</v>
      </c>
      <c r="E881" s="3" t="s">
        <v>48</v>
      </c>
      <c r="F881" s="3" t="s">
        <v>15</v>
      </c>
      <c r="G881" s="3">
        <v>8</v>
      </c>
      <c r="H881" s="4">
        <v>434</v>
      </c>
      <c r="I881" s="4">
        <v>300</v>
      </c>
      <c r="J881" s="3" t="s">
        <v>39</v>
      </c>
      <c r="K881" s="3" t="s">
        <v>17</v>
      </c>
      <c r="L881">
        <f t="shared" si="81"/>
        <v>2026</v>
      </c>
      <c r="M881">
        <f t="shared" si="78"/>
        <v>9</v>
      </c>
      <c r="N881" t="str">
        <f t="shared" si="79"/>
        <v>Sep</v>
      </c>
      <c r="O881" t="str">
        <f t="shared" si="80"/>
        <v>2026-09</v>
      </c>
      <c r="P881" t="str">
        <f t="shared" si="82"/>
        <v>2026-W38</v>
      </c>
      <c r="Q881" t="str">
        <f t="shared" si="83"/>
        <v>Mon</v>
      </c>
    </row>
    <row r="882" spans="1:17" x14ac:dyDescent="0.3">
      <c r="A882" s="2">
        <v>46279</v>
      </c>
      <c r="B882" s="3" t="s">
        <v>928</v>
      </c>
      <c r="C882" s="3" t="s">
        <v>32</v>
      </c>
      <c r="D882" s="3" t="s">
        <v>26</v>
      </c>
      <c r="E882" s="3" t="s">
        <v>29</v>
      </c>
      <c r="F882" s="3" t="s">
        <v>21</v>
      </c>
      <c r="G882" s="3">
        <v>87</v>
      </c>
      <c r="H882" s="4">
        <v>3656</v>
      </c>
      <c r="I882" s="4">
        <v>4000</v>
      </c>
      <c r="J882" s="3" t="s">
        <v>22</v>
      </c>
      <c r="K882" s="3" t="s">
        <v>17</v>
      </c>
      <c r="L882">
        <f t="shared" si="81"/>
        <v>2026</v>
      </c>
      <c r="M882">
        <f t="shared" si="78"/>
        <v>9</v>
      </c>
      <c r="N882" t="str">
        <f t="shared" si="79"/>
        <v>Sep</v>
      </c>
      <c r="O882" t="str">
        <f t="shared" si="80"/>
        <v>2026-09</v>
      </c>
      <c r="P882" t="str">
        <f t="shared" si="82"/>
        <v>2026-W38</v>
      </c>
      <c r="Q882" t="str">
        <f t="shared" si="83"/>
        <v>Mon</v>
      </c>
    </row>
    <row r="883" spans="1:17" x14ac:dyDescent="0.3">
      <c r="A883" s="2">
        <v>46280</v>
      </c>
      <c r="B883" s="3" t="s">
        <v>929</v>
      </c>
      <c r="C883" s="3" t="s">
        <v>57</v>
      </c>
      <c r="D883" s="3" t="s">
        <v>26</v>
      </c>
      <c r="E883" s="3" t="s">
        <v>27</v>
      </c>
      <c r="F883" s="3" t="s">
        <v>15</v>
      </c>
      <c r="G883" s="3">
        <v>12</v>
      </c>
      <c r="H883" s="4">
        <v>838</v>
      </c>
      <c r="I883" s="4">
        <v>800</v>
      </c>
      <c r="J883" s="3" t="s">
        <v>22</v>
      </c>
      <c r="K883" s="3" t="s">
        <v>36</v>
      </c>
      <c r="L883">
        <f t="shared" si="81"/>
        <v>2026</v>
      </c>
      <c r="M883">
        <f t="shared" si="78"/>
        <v>9</v>
      </c>
      <c r="N883" t="str">
        <f t="shared" si="79"/>
        <v>Sep</v>
      </c>
      <c r="O883" t="str">
        <f t="shared" si="80"/>
        <v>2026-09</v>
      </c>
      <c r="P883" t="str">
        <f t="shared" si="82"/>
        <v>2026-W38</v>
      </c>
      <c r="Q883" t="str">
        <f t="shared" si="83"/>
        <v>Tue</v>
      </c>
    </row>
    <row r="884" spans="1:17" x14ac:dyDescent="0.3">
      <c r="A884" s="2">
        <v>46280</v>
      </c>
      <c r="B884" s="3" t="s">
        <v>930</v>
      </c>
      <c r="C884" s="3" t="s">
        <v>32</v>
      </c>
      <c r="D884" s="3" t="s">
        <v>26</v>
      </c>
      <c r="E884" s="3" t="s">
        <v>44</v>
      </c>
      <c r="F884" s="3" t="s">
        <v>34</v>
      </c>
      <c r="G884" s="3">
        <v>22</v>
      </c>
      <c r="H884" s="4">
        <v>1581</v>
      </c>
      <c r="I884" s="4">
        <v>1400</v>
      </c>
      <c r="J884" s="3" t="s">
        <v>22</v>
      </c>
      <c r="K884" s="3" t="s">
        <v>36</v>
      </c>
      <c r="L884">
        <f t="shared" si="81"/>
        <v>2026</v>
      </c>
      <c r="M884">
        <f t="shared" si="78"/>
        <v>9</v>
      </c>
      <c r="N884" t="str">
        <f t="shared" si="79"/>
        <v>Sep</v>
      </c>
      <c r="O884" t="str">
        <f t="shared" si="80"/>
        <v>2026-09</v>
      </c>
      <c r="P884" t="str">
        <f t="shared" si="82"/>
        <v>2026-W38</v>
      </c>
      <c r="Q884" t="str">
        <f t="shared" si="83"/>
        <v>Tue</v>
      </c>
    </row>
    <row r="885" spans="1:17" x14ac:dyDescent="0.3">
      <c r="A885" s="2">
        <v>46280</v>
      </c>
      <c r="B885" s="3" t="s">
        <v>931</v>
      </c>
      <c r="C885" s="3" t="s">
        <v>38</v>
      </c>
      <c r="D885" s="3" t="s">
        <v>13</v>
      </c>
      <c r="E885" s="3" t="s">
        <v>20</v>
      </c>
      <c r="F885" s="3" t="s">
        <v>21</v>
      </c>
      <c r="G885" s="3">
        <v>40</v>
      </c>
      <c r="H885" s="4">
        <v>1848</v>
      </c>
      <c r="I885" s="4">
        <v>1500</v>
      </c>
      <c r="J885" s="3" t="s">
        <v>39</v>
      </c>
      <c r="K885" s="3" t="s">
        <v>17</v>
      </c>
      <c r="L885">
        <f t="shared" si="81"/>
        <v>2026</v>
      </c>
      <c r="M885">
        <f t="shared" si="78"/>
        <v>9</v>
      </c>
      <c r="N885" t="str">
        <f t="shared" si="79"/>
        <v>Sep</v>
      </c>
      <c r="O885" t="str">
        <f t="shared" si="80"/>
        <v>2026-09</v>
      </c>
      <c r="P885" t="str">
        <f t="shared" si="82"/>
        <v>2026-W38</v>
      </c>
      <c r="Q885" t="str">
        <f t="shared" si="83"/>
        <v>Tue</v>
      </c>
    </row>
    <row r="886" spans="1:17" x14ac:dyDescent="0.3">
      <c r="A886" s="2">
        <v>46280</v>
      </c>
      <c r="B886" s="3" t="s">
        <v>932</v>
      </c>
      <c r="C886" s="3" t="s">
        <v>43</v>
      </c>
      <c r="D886" s="3" t="s">
        <v>19</v>
      </c>
      <c r="E886" s="3" t="s">
        <v>20</v>
      </c>
      <c r="F886" s="3" t="s">
        <v>21</v>
      </c>
      <c r="G886" s="3">
        <v>5</v>
      </c>
      <c r="H886" s="4">
        <v>273</v>
      </c>
      <c r="I886" s="4">
        <v>300</v>
      </c>
      <c r="J886" s="3" t="s">
        <v>39</v>
      </c>
      <c r="K886" s="3" t="s">
        <v>23</v>
      </c>
      <c r="L886">
        <f t="shared" si="81"/>
        <v>2026</v>
      </c>
      <c r="M886">
        <f t="shared" si="78"/>
        <v>9</v>
      </c>
      <c r="N886" t="str">
        <f t="shared" si="79"/>
        <v>Sep</v>
      </c>
      <c r="O886" t="str">
        <f t="shared" si="80"/>
        <v>2026-09</v>
      </c>
      <c r="P886" t="str">
        <f t="shared" si="82"/>
        <v>2026-W38</v>
      </c>
      <c r="Q886" t="str">
        <f t="shared" si="83"/>
        <v>Tue</v>
      </c>
    </row>
    <row r="887" spans="1:17" x14ac:dyDescent="0.3">
      <c r="A887" s="2">
        <v>46280</v>
      </c>
      <c r="B887" s="3" t="s">
        <v>933</v>
      </c>
      <c r="C887" s="3" t="s">
        <v>12</v>
      </c>
      <c r="D887" s="3" t="s">
        <v>26</v>
      </c>
      <c r="E887" s="3" t="s">
        <v>48</v>
      </c>
      <c r="F887" s="3" t="s">
        <v>15</v>
      </c>
      <c r="G887" s="3">
        <v>84</v>
      </c>
      <c r="H887" s="4">
        <v>5624</v>
      </c>
      <c r="I887" s="4">
        <v>5200</v>
      </c>
      <c r="J887" s="3" t="s">
        <v>16</v>
      </c>
      <c r="K887" s="3" t="s">
        <v>36</v>
      </c>
      <c r="L887">
        <f t="shared" si="81"/>
        <v>2026</v>
      </c>
      <c r="M887">
        <f t="shared" si="78"/>
        <v>9</v>
      </c>
      <c r="N887" t="str">
        <f t="shared" si="79"/>
        <v>Sep</v>
      </c>
      <c r="O887" t="str">
        <f t="shared" si="80"/>
        <v>2026-09</v>
      </c>
      <c r="P887" t="str">
        <f t="shared" si="82"/>
        <v>2026-W38</v>
      </c>
      <c r="Q887" t="str">
        <f t="shared" si="83"/>
        <v>Tue</v>
      </c>
    </row>
    <row r="888" spans="1:17" x14ac:dyDescent="0.3">
      <c r="A888" s="2">
        <v>46280</v>
      </c>
      <c r="B888" s="3" t="s">
        <v>934</v>
      </c>
      <c r="C888" s="3" t="s">
        <v>38</v>
      </c>
      <c r="D888" s="3" t="s">
        <v>53</v>
      </c>
      <c r="E888" s="3" t="s">
        <v>48</v>
      </c>
      <c r="F888" s="3" t="s">
        <v>15</v>
      </c>
      <c r="G888" s="3">
        <v>41</v>
      </c>
      <c r="H888" s="4">
        <v>2964</v>
      </c>
      <c r="I888" s="4">
        <v>3100</v>
      </c>
      <c r="J888" s="3" t="s">
        <v>22</v>
      </c>
      <c r="K888" s="3" t="s">
        <v>30</v>
      </c>
      <c r="L888">
        <f t="shared" si="81"/>
        <v>2026</v>
      </c>
      <c r="M888">
        <f t="shared" si="78"/>
        <v>9</v>
      </c>
      <c r="N888" t="str">
        <f t="shared" si="79"/>
        <v>Sep</v>
      </c>
      <c r="O888" t="str">
        <f t="shared" si="80"/>
        <v>2026-09</v>
      </c>
      <c r="P888" t="str">
        <f t="shared" si="82"/>
        <v>2026-W38</v>
      </c>
      <c r="Q888" t="str">
        <f t="shared" si="83"/>
        <v>Tue</v>
      </c>
    </row>
    <row r="889" spans="1:17" x14ac:dyDescent="0.3">
      <c r="A889" s="2">
        <v>46281</v>
      </c>
      <c r="B889" s="3" t="s">
        <v>935</v>
      </c>
      <c r="C889" s="3" t="s">
        <v>57</v>
      </c>
      <c r="D889" s="3" t="s">
        <v>53</v>
      </c>
      <c r="E889" s="3" t="s">
        <v>29</v>
      </c>
      <c r="F889" s="3" t="s">
        <v>21</v>
      </c>
      <c r="G889" s="3">
        <v>64</v>
      </c>
      <c r="H889" s="4">
        <v>2962</v>
      </c>
      <c r="I889" s="4">
        <v>3500</v>
      </c>
      <c r="J889" s="3" t="s">
        <v>39</v>
      </c>
      <c r="K889" s="3" t="s">
        <v>30</v>
      </c>
      <c r="L889">
        <f t="shared" si="81"/>
        <v>2026</v>
      </c>
      <c r="M889">
        <f t="shared" si="78"/>
        <v>9</v>
      </c>
      <c r="N889" t="str">
        <f t="shared" si="79"/>
        <v>Sep</v>
      </c>
      <c r="O889" t="str">
        <f t="shared" si="80"/>
        <v>2026-09</v>
      </c>
      <c r="P889" t="str">
        <f t="shared" si="82"/>
        <v>2026-W38</v>
      </c>
      <c r="Q889" t="str">
        <f t="shared" si="83"/>
        <v>Wed</v>
      </c>
    </row>
    <row r="890" spans="1:17" x14ac:dyDescent="0.3">
      <c r="A890" s="2">
        <v>46282</v>
      </c>
      <c r="B890" s="3" t="s">
        <v>936</v>
      </c>
      <c r="C890" s="3" t="s">
        <v>91</v>
      </c>
      <c r="D890" s="3" t="s">
        <v>65</v>
      </c>
      <c r="E890" s="3" t="s">
        <v>61</v>
      </c>
      <c r="F890" s="3" t="s">
        <v>59</v>
      </c>
      <c r="G890" s="3">
        <v>108</v>
      </c>
      <c r="H890" s="4">
        <v>13200</v>
      </c>
      <c r="I890" s="4">
        <v>14000</v>
      </c>
      <c r="J890" s="3" t="s">
        <v>39</v>
      </c>
      <c r="K890" s="3" t="s">
        <v>36</v>
      </c>
      <c r="L890">
        <f t="shared" si="81"/>
        <v>2026</v>
      </c>
      <c r="M890">
        <f t="shared" si="78"/>
        <v>9</v>
      </c>
      <c r="N890" t="str">
        <f t="shared" si="79"/>
        <v>Sep</v>
      </c>
      <c r="O890" t="str">
        <f t="shared" si="80"/>
        <v>2026-09</v>
      </c>
      <c r="P890" t="str">
        <f t="shared" si="82"/>
        <v>2026-W38</v>
      </c>
      <c r="Q890" t="str">
        <f t="shared" si="83"/>
        <v>Thu</v>
      </c>
    </row>
    <row r="891" spans="1:17" x14ac:dyDescent="0.3">
      <c r="A891" s="2">
        <v>46282</v>
      </c>
      <c r="B891" s="3" t="s">
        <v>937</v>
      </c>
      <c r="C891" s="3" t="s">
        <v>12</v>
      </c>
      <c r="D891" s="3" t="s">
        <v>19</v>
      </c>
      <c r="E891" s="3" t="s">
        <v>20</v>
      </c>
      <c r="F891" s="3" t="s">
        <v>21</v>
      </c>
      <c r="G891" s="3">
        <v>115</v>
      </c>
      <c r="H891" s="4">
        <v>6322</v>
      </c>
      <c r="I891" s="4">
        <v>6500</v>
      </c>
      <c r="J891" s="3" t="s">
        <v>16</v>
      </c>
      <c r="K891" s="3" t="s">
        <v>30</v>
      </c>
      <c r="L891">
        <f t="shared" si="81"/>
        <v>2026</v>
      </c>
      <c r="M891">
        <f t="shared" si="78"/>
        <v>9</v>
      </c>
      <c r="N891" t="str">
        <f t="shared" si="79"/>
        <v>Sep</v>
      </c>
      <c r="O891" t="str">
        <f t="shared" si="80"/>
        <v>2026-09</v>
      </c>
      <c r="P891" t="str">
        <f t="shared" si="82"/>
        <v>2026-W38</v>
      </c>
      <c r="Q891" t="str">
        <f t="shared" si="83"/>
        <v>Thu</v>
      </c>
    </row>
    <row r="892" spans="1:17" x14ac:dyDescent="0.3">
      <c r="A892" s="2">
        <v>46283</v>
      </c>
      <c r="B892" s="3" t="s">
        <v>938</v>
      </c>
      <c r="C892" s="3" t="s">
        <v>38</v>
      </c>
      <c r="D892" s="3" t="s">
        <v>26</v>
      </c>
      <c r="E892" s="3" t="s">
        <v>68</v>
      </c>
      <c r="F892" s="3" t="s">
        <v>34</v>
      </c>
      <c r="G892" s="3">
        <v>60</v>
      </c>
      <c r="H892" s="4">
        <v>4218</v>
      </c>
      <c r="I892" s="4">
        <v>4700</v>
      </c>
      <c r="J892" s="3" t="s">
        <v>22</v>
      </c>
      <c r="K892" s="3" t="s">
        <v>36</v>
      </c>
      <c r="L892">
        <f t="shared" si="81"/>
        <v>2026</v>
      </c>
      <c r="M892">
        <f t="shared" si="78"/>
        <v>9</v>
      </c>
      <c r="N892" t="str">
        <f t="shared" si="79"/>
        <v>Sep</v>
      </c>
      <c r="O892" t="str">
        <f t="shared" si="80"/>
        <v>2026-09</v>
      </c>
      <c r="P892" t="str">
        <f t="shared" si="82"/>
        <v>2026-W38</v>
      </c>
      <c r="Q892" t="str">
        <f t="shared" si="83"/>
        <v>Fri</v>
      </c>
    </row>
    <row r="893" spans="1:17" x14ac:dyDescent="0.3">
      <c r="A893" s="2">
        <v>46283</v>
      </c>
      <c r="B893" s="3" t="s">
        <v>939</v>
      </c>
      <c r="C893" s="3" t="s">
        <v>57</v>
      </c>
      <c r="D893" s="3" t="s">
        <v>65</v>
      </c>
      <c r="E893" s="3" t="s">
        <v>33</v>
      </c>
      <c r="F893" s="3" t="s">
        <v>34</v>
      </c>
      <c r="G893" s="3">
        <v>26</v>
      </c>
      <c r="H893" s="4">
        <v>1653</v>
      </c>
      <c r="I893" s="4">
        <v>1900</v>
      </c>
      <c r="J893" s="3" t="s">
        <v>22</v>
      </c>
      <c r="K893" s="3" t="s">
        <v>30</v>
      </c>
      <c r="L893">
        <f t="shared" si="81"/>
        <v>2026</v>
      </c>
      <c r="M893">
        <f t="shared" si="78"/>
        <v>9</v>
      </c>
      <c r="N893" t="str">
        <f t="shared" si="79"/>
        <v>Sep</v>
      </c>
      <c r="O893" t="str">
        <f t="shared" si="80"/>
        <v>2026-09</v>
      </c>
      <c r="P893" t="str">
        <f t="shared" si="82"/>
        <v>2026-W38</v>
      </c>
      <c r="Q893" t="str">
        <f t="shared" si="83"/>
        <v>Fri</v>
      </c>
    </row>
    <row r="894" spans="1:17" x14ac:dyDescent="0.3">
      <c r="A894" s="2">
        <v>46283</v>
      </c>
      <c r="B894" s="3" t="s">
        <v>940</v>
      </c>
      <c r="C894" s="3" t="s">
        <v>12</v>
      </c>
      <c r="D894" s="3" t="s">
        <v>26</v>
      </c>
      <c r="E894" s="3" t="s">
        <v>14</v>
      </c>
      <c r="F894" s="3" t="s">
        <v>15</v>
      </c>
      <c r="G894" s="3">
        <v>5</v>
      </c>
      <c r="H894" s="4">
        <v>285</v>
      </c>
      <c r="I894" s="4">
        <v>300</v>
      </c>
      <c r="J894" s="3" t="s">
        <v>22</v>
      </c>
      <c r="K894" s="3" t="s">
        <v>30</v>
      </c>
      <c r="L894">
        <f t="shared" si="81"/>
        <v>2026</v>
      </c>
      <c r="M894">
        <f t="shared" si="78"/>
        <v>9</v>
      </c>
      <c r="N894" t="str">
        <f t="shared" si="79"/>
        <v>Sep</v>
      </c>
      <c r="O894" t="str">
        <f t="shared" si="80"/>
        <v>2026-09</v>
      </c>
      <c r="P894" t="str">
        <f t="shared" si="82"/>
        <v>2026-W38</v>
      </c>
      <c r="Q894" t="str">
        <f t="shared" si="83"/>
        <v>Fri</v>
      </c>
    </row>
    <row r="895" spans="1:17" x14ac:dyDescent="0.3">
      <c r="A895" s="2">
        <v>46283</v>
      </c>
      <c r="B895" s="3" t="s">
        <v>941</v>
      </c>
      <c r="C895" s="3" t="s">
        <v>50</v>
      </c>
      <c r="D895" s="3" t="s">
        <v>26</v>
      </c>
      <c r="E895" s="3" t="s">
        <v>48</v>
      </c>
      <c r="F895" s="3" t="s">
        <v>15</v>
      </c>
      <c r="G895" s="3">
        <v>100</v>
      </c>
      <c r="H895" s="4">
        <v>5626</v>
      </c>
      <c r="I895" s="4">
        <v>6500</v>
      </c>
      <c r="J895" s="3" t="s">
        <v>22</v>
      </c>
      <c r="K895" s="3" t="s">
        <v>36</v>
      </c>
      <c r="L895">
        <f t="shared" si="81"/>
        <v>2026</v>
      </c>
      <c r="M895">
        <f t="shared" si="78"/>
        <v>9</v>
      </c>
      <c r="N895" t="str">
        <f t="shared" si="79"/>
        <v>Sep</v>
      </c>
      <c r="O895" t="str">
        <f t="shared" si="80"/>
        <v>2026-09</v>
      </c>
      <c r="P895" t="str">
        <f t="shared" si="82"/>
        <v>2026-W38</v>
      </c>
      <c r="Q895" t="str">
        <f t="shared" si="83"/>
        <v>Fri</v>
      </c>
    </row>
    <row r="896" spans="1:17" x14ac:dyDescent="0.3">
      <c r="A896" s="2">
        <v>46283</v>
      </c>
      <c r="B896" s="3" t="s">
        <v>942</v>
      </c>
      <c r="C896" s="3" t="s">
        <v>12</v>
      </c>
      <c r="D896" s="3" t="s">
        <v>26</v>
      </c>
      <c r="E896" s="3" t="s">
        <v>123</v>
      </c>
      <c r="F896" s="3" t="s">
        <v>59</v>
      </c>
      <c r="G896" s="3">
        <v>67</v>
      </c>
      <c r="H896" s="4">
        <v>7417</v>
      </c>
      <c r="I896" s="4">
        <v>9200</v>
      </c>
      <c r="J896" s="3" t="s">
        <v>39</v>
      </c>
      <c r="K896" s="3" t="s">
        <v>36</v>
      </c>
      <c r="L896">
        <f t="shared" si="81"/>
        <v>2026</v>
      </c>
      <c r="M896">
        <f t="shared" si="78"/>
        <v>9</v>
      </c>
      <c r="N896" t="str">
        <f t="shared" si="79"/>
        <v>Sep</v>
      </c>
      <c r="O896" t="str">
        <f t="shared" si="80"/>
        <v>2026-09</v>
      </c>
      <c r="P896" t="str">
        <f t="shared" si="82"/>
        <v>2026-W38</v>
      </c>
      <c r="Q896" t="str">
        <f t="shared" si="83"/>
        <v>Fri</v>
      </c>
    </row>
    <row r="897" spans="1:17" x14ac:dyDescent="0.3">
      <c r="A897" s="2">
        <v>46283</v>
      </c>
      <c r="B897" s="3" t="s">
        <v>943</v>
      </c>
      <c r="C897" s="3" t="s">
        <v>43</v>
      </c>
      <c r="D897" s="3" t="s">
        <v>19</v>
      </c>
      <c r="E897" s="3" t="s">
        <v>29</v>
      </c>
      <c r="F897" s="3" t="s">
        <v>21</v>
      </c>
      <c r="G897" s="3">
        <v>92</v>
      </c>
      <c r="H897" s="4">
        <v>4316</v>
      </c>
      <c r="I897" s="4">
        <v>3500</v>
      </c>
      <c r="J897" s="3" t="s">
        <v>22</v>
      </c>
      <c r="K897" s="3" t="s">
        <v>30</v>
      </c>
      <c r="L897">
        <f t="shared" si="81"/>
        <v>2026</v>
      </c>
      <c r="M897">
        <f t="shared" si="78"/>
        <v>9</v>
      </c>
      <c r="N897" t="str">
        <f t="shared" si="79"/>
        <v>Sep</v>
      </c>
      <c r="O897" t="str">
        <f t="shared" si="80"/>
        <v>2026-09</v>
      </c>
      <c r="P897" t="str">
        <f t="shared" si="82"/>
        <v>2026-W38</v>
      </c>
      <c r="Q897" t="str">
        <f t="shared" si="83"/>
        <v>Fri</v>
      </c>
    </row>
    <row r="898" spans="1:17" x14ac:dyDescent="0.3">
      <c r="A898" s="2">
        <v>46284</v>
      </c>
      <c r="B898" s="3" t="s">
        <v>944</v>
      </c>
      <c r="C898" s="3" t="s">
        <v>57</v>
      </c>
      <c r="D898" s="3" t="s">
        <v>26</v>
      </c>
      <c r="E898" s="3" t="s">
        <v>41</v>
      </c>
      <c r="F898" s="3" t="s">
        <v>21</v>
      </c>
      <c r="G898" s="3">
        <v>89</v>
      </c>
      <c r="H898" s="4">
        <v>3900</v>
      </c>
      <c r="I898" s="4">
        <v>4700</v>
      </c>
      <c r="J898" s="3" t="s">
        <v>22</v>
      </c>
      <c r="K898" s="3" t="s">
        <v>30</v>
      </c>
      <c r="L898">
        <f t="shared" si="81"/>
        <v>2026</v>
      </c>
      <c r="M898">
        <f t="shared" si="78"/>
        <v>9</v>
      </c>
      <c r="N898" t="str">
        <f t="shared" si="79"/>
        <v>Sep</v>
      </c>
      <c r="O898" t="str">
        <f t="shared" si="80"/>
        <v>2026-09</v>
      </c>
      <c r="P898" t="str">
        <f t="shared" si="82"/>
        <v>2026-W38</v>
      </c>
      <c r="Q898" t="str">
        <f t="shared" si="83"/>
        <v>Sat</v>
      </c>
    </row>
    <row r="899" spans="1:17" x14ac:dyDescent="0.3">
      <c r="A899" s="2">
        <v>46284</v>
      </c>
      <c r="B899" s="3" t="s">
        <v>945</v>
      </c>
      <c r="C899" s="3" t="s">
        <v>12</v>
      </c>
      <c r="D899" s="3" t="s">
        <v>53</v>
      </c>
      <c r="E899" s="3" t="s">
        <v>68</v>
      </c>
      <c r="F899" s="3" t="s">
        <v>34</v>
      </c>
      <c r="G899" s="3">
        <v>110</v>
      </c>
      <c r="H899" s="4">
        <v>6879</v>
      </c>
      <c r="I899" s="4">
        <v>6600</v>
      </c>
      <c r="J899" s="3" t="s">
        <v>22</v>
      </c>
      <c r="K899" s="3" t="s">
        <v>36</v>
      </c>
      <c r="L899">
        <f t="shared" ref="L899:L901" si="84">YEAR($A899)</f>
        <v>2026</v>
      </c>
      <c r="M899">
        <f t="shared" si="78"/>
        <v>9</v>
      </c>
      <c r="N899" t="str">
        <f t="shared" si="79"/>
        <v>Sep</v>
      </c>
      <c r="O899" t="str">
        <f t="shared" si="80"/>
        <v>2026-09</v>
      </c>
      <c r="P899" t="str">
        <f t="shared" ref="P899:P901" si="85">YEAR($A899)&amp;"-W"&amp;TEXT(WEEKNUM($A899,2),"00")</f>
        <v>2026-W38</v>
      </c>
      <c r="Q899" t="str">
        <f t="shared" ref="Q899:Q901" si="86">CHOOSE(WEEKDAY($A899,2),"Mon","Tue","Wed","Thu","Fri","Sat","Sun")</f>
        <v>Sat</v>
      </c>
    </row>
    <row r="900" spans="1:17" x14ac:dyDescent="0.3">
      <c r="A900" s="2">
        <v>46284</v>
      </c>
      <c r="B900" s="3" t="s">
        <v>946</v>
      </c>
      <c r="C900" s="3" t="s">
        <v>38</v>
      </c>
      <c r="D900" s="3" t="s">
        <v>13</v>
      </c>
      <c r="E900" s="3" t="s">
        <v>61</v>
      </c>
      <c r="F900" s="3" t="s">
        <v>59</v>
      </c>
      <c r="G900" s="3">
        <v>59</v>
      </c>
      <c r="H900" s="4">
        <v>7017</v>
      </c>
      <c r="I900" s="4">
        <v>7600</v>
      </c>
      <c r="J900" s="3" t="s">
        <v>22</v>
      </c>
      <c r="K900" s="3" t="s">
        <v>36</v>
      </c>
      <c r="L900">
        <f t="shared" si="84"/>
        <v>2026</v>
      </c>
      <c r="M900">
        <f t="shared" si="78"/>
        <v>9</v>
      </c>
      <c r="N900" t="str">
        <f t="shared" si="79"/>
        <v>Sep</v>
      </c>
      <c r="O900" t="str">
        <f t="shared" si="80"/>
        <v>2026-09</v>
      </c>
      <c r="P900" t="str">
        <f t="shared" si="85"/>
        <v>2026-W38</v>
      </c>
      <c r="Q900" t="str">
        <f t="shared" si="86"/>
        <v>Sat</v>
      </c>
    </row>
    <row r="901" spans="1:17" x14ac:dyDescent="0.3">
      <c r="A901" s="2">
        <v>46285</v>
      </c>
      <c r="B901" s="3" t="s">
        <v>947</v>
      </c>
      <c r="C901" s="3" t="s">
        <v>43</v>
      </c>
      <c r="D901" s="3" t="s">
        <v>47</v>
      </c>
      <c r="E901" s="3" t="s">
        <v>27</v>
      </c>
      <c r="F901" s="3" t="s">
        <v>15</v>
      </c>
      <c r="G901" s="3">
        <v>36</v>
      </c>
      <c r="H901" s="4">
        <v>2559</v>
      </c>
      <c r="I901" s="4">
        <v>2700</v>
      </c>
      <c r="J901" s="3" t="s">
        <v>22</v>
      </c>
      <c r="K901" s="3" t="s">
        <v>30</v>
      </c>
      <c r="L901">
        <f t="shared" si="84"/>
        <v>2026</v>
      </c>
      <c r="M901">
        <f t="shared" si="78"/>
        <v>9</v>
      </c>
      <c r="N901" t="str">
        <f t="shared" si="79"/>
        <v>Sep</v>
      </c>
      <c r="O901" t="str">
        <f t="shared" si="80"/>
        <v>2026-09</v>
      </c>
      <c r="P901" t="str">
        <f t="shared" si="85"/>
        <v>2026-W38</v>
      </c>
      <c r="Q901" t="str">
        <f t="shared" si="86"/>
        <v>Sun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01A7-BDBE-4D3C-9402-9380A7172ACD}">
  <dimension ref="A1:M83"/>
  <sheetViews>
    <sheetView showGridLines="0" tabSelected="1" workbookViewId="0">
      <selection activeCell="C39" sqref="C39"/>
    </sheetView>
  </sheetViews>
  <sheetFormatPr defaultRowHeight="14.4" x14ac:dyDescent="0.3"/>
  <cols>
    <col min="1" max="1" width="1.6640625" customWidth="1"/>
    <col min="2" max="2" width="37.44140625" customWidth="1"/>
    <col min="3" max="3" width="20.5546875" customWidth="1"/>
    <col min="4" max="4" width="11.77734375" customWidth="1"/>
    <col min="5" max="6" width="12" bestFit="1" customWidth="1"/>
    <col min="7" max="7" width="15.33203125" customWidth="1"/>
    <col min="8" max="8" width="13.109375" bestFit="1" customWidth="1"/>
  </cols>
  <sheetData>
    <row r="1" spans="1:13" ht="33.6" x14ac:dyDescent="0.65">
      <c r="A1" s="41"/>
      <c r="B1" s="38" t="s">
        <v>967</v>
      </c>
      <c r="C1" s="38"/>
      <c r="D1" s="38"/>
      <c r="E1" s="39"/>
      <c r="F1" s="39"/>
      <c r="G1" s="39"/>
      <c r="H1" s="39"/>
      <c r="I1" s="39"/>
    </row>
    <row r="3" spans="1:13" ht="15.6" x14ac:dyDescent="0.3">
      <c r="A3" s="5" t="s">
        <v>954</v>
      </c>
      <c r="B3" s="5"/>
      <c r="C3" s="5"/>
      <c r="D3" s="5"/>
      <c r="E3" s="5"/>
      <c r="F3" s="5"/>
      <c r="G3" s="5"/>
      <c r="H3" s="5"/>
      <c r="I3" s="5"/>
    </row>
    <row r="5" spans="1:13" ht="21.6" thickBot="1" x14ac:dyDescent="0.45">
      <c r="A5" s="37" t="s">
        <v>955</v>
      </c>
      <c r="B5" s="37"/>
      <c r="C5" s="37"/>
      <c r="D5" s="37"/>
      <c r="E5" s="37"/>
      <c r="F5" s="37"/>
      <c r="G5" s="37"/>
      <c r="H5" s="37"/>
      <c r="I5" s="37"/>
      <c r="J5" s="7"/>
      <c r="K5" s="7"/>
      <c r="L5" s="7"/>
      <c r="M5" s="7"/>
    </row>
    <row r="6" spans="1:13" ht="18.600000000000001" thickBot="1" x14ac:dyDescent="0.4">
      <c r="A6" s="8" t="s">
        <v>968</v>
      </c>
      <c r="B6" s="10"/>
      <c r="C6" s="12">
        <v>46252</v>
      </c>
      <c r="D6" t="s">
        <v>957</v>
      </c>
    </row>
    <row r="7" spans="1:13" ht="18" x14ac:dyDescent="0.35">
      <c r="A7" s="9" t="s">
        <v>956</v>
      </c>
      <c r="B7" s="9"/>
      <c r="C7" s="17">
        <f>SUMIFS(Distributor_Row_Data!H:H,Distributor_Row_Data!A:A,Sheet2!C6)</f>
        <v>35556</v>
      </c>
    </row>
    <row r="8" spans="1:13" ht="18" x14ac:dyDescent="0.35">
      <c r="A8" s="9" t="s">
        <v>958</v>
      </c>
      <c r="B8" s="9"/>
      <c r="C8" s="18">
        <f>COUNTIFS(Distributor_Row_Data!A:A,Sheet2!C6)</f>
        <v>7</v>
      </c>
    </row>
    <row r="9" spans="1:13" ht="18" x14ac:dyDescent="0.35">
      <c r="A9" s="9" t="s">
        <v>959</v>
      </c>
      <c r="B9" s="9"/>
      <c r="C9" s="19">
        <f>SUMIFS(Distributor_Row_Data!I:I,Distributor_Row_Data!A:A,Sheet2!C6)</f>
        <v>38000</v>
      </c>
    </row>
    <row r="10" spans="1:13" ht="18" x14ac:dyDescent="0.35">
      <c r="A10" s="9" t="s">
        <v>960</v>
      </c>
      <c r="B10" s="9"/>
      <c r="C10" s="20">
        <f>IFERROR(C7/C9,0)</f>
        <v>0.93568421052631578</v>
      </c>
    </row>
    <row r="11" spans="1:13" ht="18" x14ac:dyDescent="0.35">
      <c r="A11" s="9" t="s">
        <v>961</v>
      </c>
      <c r="B11" s="9"/>
      <c r="C11" s="18">
        <f>COUNTIFS(Distributor_Row_Data!A:A,Sheet2!C6,Distributor_Row_Data!J:J,"Pending")</f>
        <v>1</v>
      </c>
    </row>
    <row r="12" spans="1:13" ht="18" x14ac:dyDescent="0.35">
      <c r="A12" s="9" t="s">
        <v>962</v>
      </c>
      <c r="B12" s="9"/>
      <c r="C12" s="19">
        <f>IFERROR(C7/C8,0)</f>
        <v>5079.4285714285716</v>
      </c>
    </row>
    <row r="13" spans="1:13" ht="18" x14ac:dyDescent="0.35">
      <c r="A13" s="9" t="s">
        <v>963</v>
      </c>
      <c r="B13" s="9"/>
      <c r="C13" s="19">
        <f>SUMIFS(Distributor_Row_Data!H:H,Distributor_Row_Data!A:A,"&gt;="&amp;DATE(YEAR(C6),MONTH(C6),1),Distributor_Row_Data!A:A,"&lt;="&amp;Sheet2!C6)</f>
        <v>186514</v>
      </c>
    </row>
    <row r="14" spans="1:13" ht="18" x14ac:dyDescent="0.35">
      <c r="A14" s="9" t="s">
        <v>964</v>
      </c>
      <c r="B14" s="9"/>
      <c r="C14" s="19">
        <f>SUMIFS(Distributor_Row_Data!H:H,Distributor_Row_Data!A:A,"&gt;="&amp;DATE(YEAR(C6),1,1),Distributor_Row_Data!A:A,"&lt;="&amp;Sheet2!C6)</f>
        <v>2265135</v>
      </c>
    </row>
    <row r="15" spans="1:13" ht="18" x14ac:dyDescent="0.35">
      <c r="A15" s="9" t="s">
        <v>965</v>
      </c>
      <c r="B15" s="9"/>
      <c r="C15" s="18" t="str">
        <f>INDEX(B19:B26,MATCH(MAX(C19:C26),C19:C26,0))</f>
        <v>Priya Mehta</v>
      </c>
    </row>
    <row r="17" spans="1:9" ht="31.2" x14ac:dyDescent="0.6">
      <c r="A17" s="40" t="s">
        <v>966</v>
      </c>
      <c r="B17" s="6"/>
      <c r="C17" s="6"/>
      <c r="D17" s="6"/>
      <c r="E17" s="6"/>
      <c r="F17" s="6"/>
      <c r="G17" s="6"/>
      <c r="H17" s="6"/>
      <c r="I17" s="6"/>
    </row>
    <row r="18" spans="1:9" ht="30" customHeight="1" x14ac:dyDescent="0.3">
      <c r="A18" s="11"/>
      <c r="B18" s="28" t="s">
        <v>2</v>
      </c>
      <c r="C18" s="28" t="s">
        <v>969</v>
      </c>
      <c r="D18" s="28" t="s">
        <v>970</v>
      </c>
      <c r="E18" s="28" t="s">
        <v>971</v>
      </c>
      <c r="F18" s="28" t="s">
        <v>8</v>
      </c>
      <c r="G18" s="28" t="s">
        <v>972</v>
      </c>
      <c r="H18" s="28" t="s">
        <v>973</v>
      </c>
      <c r="I18" s="28" t="s">
        <v>974</v>
      </c>
    </row>
    <row r="19" spans="1:9" ht="15.6" x14ac:dyDescent="0.3">
      <c r="A19" s="11"/>
      <c r="B19" s="13" t="s">
        <v>43</v>
      </c>
      <c r="C19" s="14">
        <f>SUMIFS(Distributor_Row_Data!H:H, Distributor_Row_Data!C:C, $B19, Distributor_Row_Data!A:A,$C$6)</f>
        <v>2204</v>
      </c>
      <c r="D19" s="15">
        <f>SUMIFS(Distributor_Row_Data!H:H,Distributor_Row_Data!C:C,Sheet2!$B19)</f>
        <v>675849</v>
      </c>
      <c r="E19" s="14">
        <f>COUNTIFS(Distributor_Row_Data!C:C,Sheet2!$B19)</f>
        <v>176</v>
      </c>
      <c r="F19" s="15">
        <f>SUMIFS(Distributor_Row_Data!I:I,Distributor_Row_Data!C:C,Sheet2!B19)</f>
        <v>689500</v>
      </c>
      <c r="G19" s="16">
        <f>IFERROR($D19/$F19,0)</f>
        <v>0.98020159535895579</v>
      </c>
      <c r="H19" s="16">
        <f>IFERROR(D19/SUM(D19:D26),0)</f>
        <v>0.19765353887655066</v>
      </c>
      <c r="I19" s="14">
        <f>RANK(D19,$D$19:$D$26)</f>
        <v>1</v>
      </c>
    </row>
    <row r="20" spans="1:9" ht="15.6" x14ac:dyDescent="0.3">
      <c r="A20" s="11"/>
      <c r="B20" s="13" t="s">
        <v>32</v>
      </c>
      <c r="C20" s="14">
        <f>SUMIFS(Distributor_Row_Data!H:H, Distributor_Row_Data!C:C, $B20, Distributor_Row_Data!A:A,$C$6)</f>
        <v>10641</v>
      </c>
      <c r="D20" s="15">
        <f>SUMIFS(Distributor_Row_Data!H:H,Distributor_Row_Data!C:C,Sheet2!$B20)</f>
        <v>460439</v>
      </c>
      <c r="E20" s="14">
        <f>COUNTIFS(Distributor_Row_Data!C:C,Sheet2!$B20)</f>
        <v>128</v>
      </c>
      <c r="F20" s="15">
        <f>SUMIFS(Distributor_Row_Data!I:I,Distributor_Row_Data!C:C,Sheet2!B20)</f>
        <v>472500</v>
      </c>
      <c r="G20" s="16">
        <f t="shared" ref="G20:G26" si="0">IFERROR($D20/$F20,0)</f>
        <v>0.97447407407407405</v>
      </c>
      <c r="H20" s="16">
        <f t="shared" ref="H20:H26" si="1">IFERROR(D20/SUM(D20:D27),0)</f>
        <v>0.16782825523334499</v>
      </c>
      <c r="I20" s="14">
        <f t="shared" ref="I20:I26" si="2">RANK(D20,$D$19:$D$26)</f>
        <v>2</v>
      </c>
    </row>
    <row r="21" spans="1:9" ht="15.6" x14ac:dyDescent="0.3">
      <c r="A21" s="11"/>
      <c r="B21" s="13" t="s">
        <v>38</v>
      </c>
      <c r="C21" s="14">
        <f>SUMIFS(Distributor_Row_Data!H:H, Distributor_Row_Data!C:C, $B21, Distributor_Row_Data!A:A,$C$6)</f>
        <v>2334</v>
      </c>
      <c r="D21" s="15">
        <f>SUMIFS(Distributor_Row_Data!H:H,Distributor_Row_Data!C:C,Sheet2!$B21)</f>
        <v>447328</v>
      </c>
      <c r="E21" s="14">
        <f>COUNTIFS(Distributor_Row_Data!C:C,Sheet2!$B21)</f>
        <v>126</v>
      </c>
      <c r="F21" s="15">
        <f>SUMIFS(Distributor_Row_Data!I:I,Distributor_Row_Data!C:C,Sheet2!B21)</f>
        <v>456400</v>
      </c>
      <c r="G21" s="16">
        <f t="shared" si="0"/>
        <v>0.98012269938650309</v>
      </c>
      <c r="H21" s="16">
        <f t="shared" si="1"/>
        <v>0.19593232632845015</v>
      </c>
      <c r="I21" s="14">
        <f t="shared" si="2"/>
        <v>4</v>
      </c>
    </row>
    <row r="22" spans="1:9" ht="15.6" x14ac:dyDescent="0.3">
      <c r="A22" s="11"/>
      <c r="B22" s="13" t="s">
        <v>12</v>
      </c>
      <c r="C22" s="14">
        <f>SUMIFS(Distributor_Row_Data!H:H, Distributor_Row_Data!C:C, $B22, Distributor_Row_Data!A:A,$C$6)</f>
        <v>6262</v>
      </c>
      <c r="D22" s="15">
        <f>SUMIFS(Distributor_Row_Data!H:H,Distributor_Row_Data!C:C,Sheet2!$B22)</f>
        <v>454418</v>
      </c>
      <c r="E22" s="14">
        <f>COUNTIFS(Distributor_Row_Data!C:C,Sheet2!$B22)</f>
        <v>123</v>
      </c>
      <c r="F22" s="15">
        <f>SUMIFS(Distributor_Row_Data!I:I,Distributor_Row_Data!C:C,Sheet2!B22)</f>
        <v>460000</v>
      </c>
      <c r="G22" s="16">
        <f t="shared" si="0"/>
        <v>0.9878652173913044</v>
      </c>
      <c r="H22" s="16">
        <f>IFERROR(D22/SUM(D22:D29),0)</f>
        <v>0.24753860283503273</v>
      </c>
      <c r="I22" s="14">
        <f t="shared" si="2"/>
        <v>3</v>
      </c>
    </row>
    <row r="23" spans="1:9" ht="15.6" x14ac:dyDescent="0.3">
      <c r="A23" s="11"/>
      <c r="B23" s="13" t="s">
        <v>50</v>
      </c>
      <c r="C23" s="14">
        <f>SUMIFS(Distributor_Row_Data!H:H, Distributor_Row_Data!C:C, $B23, Distributor_Row_Data!A:A,$C$6)</f>
        <v>0</v>
      </c>
      <c r="D23" s="15">
        <f>SUMIFS(Distributor_Row_Data!H:H,Distributor_Row_Data!C:C,Sheet2!$B23)</f>
        <v>395643</v>
      </c>
      <c r="E23" s="14">
        <f>COUNTIFS(Distributor_Row_Data!C:C,Sheet2!$B23)</f>
        <v>107</v>
      </c>
      <c r="F23" s="15">
        <f>SUMIFS(Distributor_Row_Data!I:I,Distributor_Row_Data!C:C,Sheet2!B23)</f>
        <v>419300</v>
      </c>
      <c r="G23" s="16">
        <f t="shared" si="0"/>
        <v>0.94357977581683761</v>
      </c>
      <c r="H23" s="16">
        <f t="shared" si="1"/>
        <v>0.28642219661079771</v>
      </c>
      <c r="I23" s="14">
        <f t="shared" si="2"/>
        <v>5</v>
      </c>
    </row>
    <row r="24" spans="1:9" ht="15.6" x14ac:dyDescent="0.3">
      <c r="A24" s="11"/>
      <c r="B24" s="13" t="s">
        <v>57</v>
      </c>
      <c r="C24" s="14">
        <f>SUMIFS(Distributor_Row_Data!H:H, Distributor_Row_Data!C:C, $B24, Distributor_Row_Data!A:A,$C$6)</f>
        <v>5491</v>
      </c>
      <c r="D24" s="15">
        <f>SUMIFS(Distributor_Row_Data!H:H,Distributor_Row_Data!C:C,Sheet2!$B24)</f>
        <v>383663</v>
      </c>
      <c r="E24" s="14">
        <f>COUNTIFS(Distributor_Row_Data!C:C,Sheet2!$B24)</f>
        <v>97</v>
      </c>
      <c r="F24" s="15">
        <f>SUMIFS(Distributor_Row_Data!I:I,Distributor_Row_Data!C:C,Sheet2!B24)</f>
        <v>385400</v>
      </c>
      <c r="G24" s="16">
        <f t="shared" si="0"/>
        <v>0.99549299429164506</v>
      </c>
      <c r="H24" s="16">
        <f t="shared" si="1"/>
        <v>0.38922857945766515</v>
      </c>
      <c r="I24" s="14">
        <f t="shared" si="2"/>
        <v>6</v>
      </c>
    </row>
    <row r="25" spans="1:9" ht="15.6" x14ac:dyDescent="0.3">
      <c r="A25" s="11"/>
      <c r="B25" s="13" t="s">
        <v>25</v>
      </c>
      <c r="C25" s="14">
        <f>SUMIFS(Distributor_Row_Data!H:H, Distributor_Row_Data!C:C, $B25, Distributor_Row_Data!A:A,$C$6)</f>
        <v>0</v>
      </c>
      <c r="D25" s="15">
        <f>SUMIFS(Distributor_Row_Data!H:H,Distributor_Row_Data!C:C,Sheet2!$B25)</f>
        <v>322748</v>
      </c>
      <c r="E25" s="14">
        <f>COUNTIFS(Distributor_Row_Data!C:C,Sheet2!$B25)</f>
        <v>80</v>
      </c>
      <c r="F25" s="15">
        <f>SUMIFS(Distributor_Row_Data!I:I,Distributor_Row_Data!C:C,Sheet2!B25)</f>
        <v>324200</v>
      </c>
      <c r="G25" s="16">
        <f t="shared" si="0"/>
        <v>0.99552128315854416</v>
      </c>
      <c r="H25" s="16">
        <f t="shared" si="1"/>
        <v>0.53607192626660749</v>
      </c>
      <c r="I25" s="14">
        <f t="shared" si="2"/>
        <v>7</v>
      </c>
    </row>
    <row r="26" spans="1:9" ht="15.6" x14ac:dyDescent="0.3">
      <c r="A26" s="11"/>
      <c r="B26" s="13" t="s">
        <v>91</v>
      </c>
      <c r="C26" s="14">
        <f>SUMIFS(Distributor_Row_Data!H:H, Distributor_Row_Data!C:C, $B26, Distributor_Row_Data!A:A,$C$6)</f>
        <v>8624</v>
      </c>
      <c r="D26" s="15">
        <f>SUMIFS(Distributor_Row_Data!H:H,Distributor_Row_Data!C:C,Sheet2!$B26)</f>
        <v>279274</v>
      </c>
      <c r="E26" s="14">
        <f>COUNTIFS(Distributor_Row_Data!C:C,Sheet2!$B26)</f>
        <v>63</v>
      </c>
      <c r="F26" s="15">
        <f>SUMIFS(Distributor_Row_Data!I:I,Distributor_Row_Data!C:C,Sheet2!B26)</f>
        <v>285900</v>
      </c>
      <c r="G26" s="16">
        <f t="shared" si="0"/>
        <v>0.97682406435816715</v>
      </c>
      <c r="H26" s="16">
        <f t="shared" si="1"/>
        <v>0.99977446596763053</v>
      </c>
      <c r="I26" s="14">
        <f t="shared" si="2"/>
        <v>8</v>
      </c>
    </row>
    <row r="29" spans="1:9" ht="25.8" x14ac:dyDescent="0.3">
      <c r="B29" s="21" t="s">
        <v>975</v>
      </c>
      <c r="C29" s="22"/>
      <c r="D29" s="22"/>
      <c r="E29" s="22"/>
      <c r="F29" s="22"/>
      <c r="G29" s="22"/>
      <c r="H29" s="22"/>
      <c r="I29" s="22"/>
    </row>
    <row r="30" spans="1:9" ht="25.2" customHeight="1" x14ac:dyDescent="0.3">
      <c r="B30" s="30" t="s">
        <v>976</v>
      </c>
      <c r="C30" s="30" t="s">
        <v>7</v>
      </c>
      <c r="D30" s="30" t="s">
        <v>977</v>
      </c>
      <c r="E30" s="30" t="s">
        <v>8</v>
      </c>
      <c r="F30" s="30" t="s">
        <v>972</v>
      </c>
      <c r="G30" s="30" t="s">
        <v>978</v>
      </c>
    </row>
    <row r="31" spans="1:9" x14ac:dyDescent="0.3">
      <c r="B31" s="13" t="s">
        <v>979</v>
      </c>
      <c r="C31" s="15">
        <f>SUMIFS(Distributor_Row_Data!H:H,Distributor_Row_Data!P:P,Sheet2!B31)</f>
        <v>70699</v>
      </c>
      <c r="D31" s="14">
        <f>COUNTIFS(Distributor_Row_Data!P:P,Sheet2!B31)</f>
        <v>16</v>
      </c>
      <c r="E31" s="15">
        <f>SUMIFS(Distributor_Row_Data!I:I,Distributor_Row_Data!P:P,Sheet2!B31)</f>
        <v>71700</v>
      </c>
      <c r="F31" s="29">
        <f>IFERROR(C31/E31,0)</f>
        <v>0.98603905160390515</v>
      </c>
      <c r="G31" s="29" t="str">
        <f>IFERROR(C31/C30-1,"")</f>
        <v/>
      </c>
    </row>
    <row r="32" spans="1:9" x14ac:dyDescent="0.3">
      <c r="B32" s="13" t="s">
        <v>980</v>
      </c>
      <c r="C32" s="15">
        <f>SUMIFS(Distributor_Row_Data!H:H,Distributor_Row_Data!P:P,Sheet2!B32)</f>
        <v>103896</v>
      </c>
      <c r="D32" s="14">
        <f>COUNTIFS(Distributor_Row_Data!P:P,Sheet2!B32)</f>
        <v>23</v>
      </c>
      <c r="E32" s="15">
        <f>SUMIFS(Distributor_Row_Data!I:I,Distributor_Row_Data!P:P,Sheet2!B32)</f>
        <v>113400</v>
      </c>
      <c r="F32" s="29">
        <f t="shared" ref="F32:F43" si="3">IFERROR(C32/E32,0)</f>
        <v>0.91619047619047622</v>
      </c>
      <c r="G32" s="29">
        <f t="shared" ref="G32:G43" si="4">IFERROR(C32/C31-1,"")</f>
        <v>0.46955402480940323</v>
      </c>
    </row>
    <row r="33" spans="2:9" x14ac:dyDescent="0.3">
      <c r="B33" s="13" t="s">
        <v>981</v>
      </c>
      <c r="C33" s="15">
        <f>SUMIFS(Distributor_Row_Data!H:H,Distributor_Row_Data!P:P,Sheet2!B33)</f>
        <v>95090</v>
      </c>
      <c r="D33" s="14">
        <f>COUNTIFS(Distributor_Row_Data!P:P,Sheet2!B33)</f>
        <v>24</v>
      </c>
      <c r="E33" s="15">
        <f>SUMIFS(Distributor_Row_Data!I:I,Distributor_Row_Data!P:P,Sheet2!B33)</f>
        <v>98300</v>
      </c>
      <c r="F33" s="29">
        <f t="shared" si="3"/>
        <v>0.96734486266531028</v>
      </c>
      <c r="G33" s="29">
        <f t="shared" si="4"/>
        <v>-8.4757834757834716E-2</v>
      </c>
    </row>
    <row r="34" spans="2:9" x14ac:dyDescent="0.3">
      <c r="B34" s="13" t="s">
        <v>982</v>
      </c>
      <c r="C34" s="15">
        <f>SUMIFS(Distributor_Row_Data!H:H,Distributor_Row_Data!P:P,Sheet2!B34)</f>
        <v>51186</v>
      </c>
      <c r="D34" s="14">
        <f>COUNTIFS(Distributor_Row_Data!P:P,Sheet2!B34)</f>
        <v>17</v>
      </c>
      <c r="E34" s="15">
        <f>SUMIFS(Distributor_Row_Data!I:I,Distributor_Row_Data!P:P,Sheet2!B34)</f>
        <v>54200</v>
      </c>
      <c r="F34" s="29">
        <f t="shared" si="3"/>
        <v>0.94439114391143908</v>
      </c>
      <c r="G34" s="29">
        <f t="shared" si="4"/>
        <v>-0.46170995898622358</v>
      </c>
    </row>
    <row r="35" spans="2:9" x14ac:dyDescent="0.3">
      <c r="B35" s="13" t="s">
        <v>983</v>
      </c>
      <c r="C35" s="15">
        <f>SUMIFS(Distributor_Row_Data!H:H,Distributor_Row_Data!P:P,Sheet2!B35)</f>
        <v>59554</v>
      </c>
      <c r="D35" s="14">
        <f>COUNTIFS(Distributor_Row_Data!P:P,Sheet2!B35)</f>
        <v>14</v>
      </c>
      <c r="E35" s="15">
        <f>SUMIFS(Distributor_Row_Data!I:I,Distributor_Row_Data!P:P,Sheet2!B35)</f>
        <v>59200</v>
      </c>
      <c r="F35" s="29">
        <f t="shared" si="3"/>
        <v>1.0059797297297297</v>
      </c>
      <c r="G35" s="29">
        <f t="shared" si="4"/>
        <v>0.16348220216465448</v>
      </c>
    </row>
    <row r="36" spans="2:9" x14ac:dyDescent="0.3">
      <c r="B36" s="13" t="s">
        <v>984</v>
      </c>
      <c r="C36" s="15">
        <f>SUMIFS(Distributor_Row_Data!H:H,Distributor_Row_Data!P:P,Sheet2!B36)</f>
        <v>61566</v>
      </c>
      <c r="D36" s="14">
        <f>COUNTIFS(Distributor_Row_Data!P:P,Sheet2!B36)</f>
        <v>19</v>
      </c>
      <c r="E36" s="15">
        <f>SUMIFS(Distributor_Row_Data!I:I,Distributor_Row_Data!P:P,Sheet2!B36)</f>
        <v>63200</v>
      </c>
      <c r="F36" s="29">
        <f t="shared" si="3"/>
        <v>0.97414556962025312</v>
      </c>
      <c r="G36" s="29">
        <f t="shared" si="4"/>
        <v>3.3784464519595714E-2</v>
      </c>
    </row>
    <row r="37" spans="2:9" x14ac:dyDescent="0.3">
      <c r="B37" s="13" t="s">
        <v>985</v>
      </c>
      <c r="C37" s="15">
        <f>SUMIFS(Distributor_Row_Data!H:H,Distributor_Row_Data!P:P,Sheet2!B37)</f>
        <v>56764</v>
      </c>
      <c r="D37" s="14">
        <f>COUNTIFS(Distributor_Row_Data!P:P,Sheet2!B37)</f>
        <v>14</v>
      </c>
      <c r="E37" s="15">
        <f>SUMIFS(Distributor_Row_Data!I:I,Distributor_Row_Data!P:P,Sheet2!B37)</f>
        <v>58800</v>
      </c>
      <c r="F37" s="29">
        <f t="shared" si="3"/>
        <v>0.9653741496598639</v>
      </c>
      <c r="G37" s="29">
        <f t="shared" si="4"/>
        <v>-7.799759607575607E-2</v>
      </c>
    </row>
    <row r="38" spans="2:9" x14ac:dyDescent="0.3">
      <c r="B38" s="13" t="s">
        <v>986</v>
      </c>
      <c r="C38" s="15">
        <f>SUMIFS(Distributor_Row_Data!H:H,Distributor_Row_Data!P:P,Sheet2!B38)</f>
        <v>71935</v>
      </c>
      <c r="D38" s="14">
        <f>COUNTIFS(Distributor_Row_Data!P:P,Sheet2!B38)</f>
        <v>16</v>
      </c>
      <c r="E38" s="15">
        <f>SUMIFS(Distributor_Row_Data!I:I,Distributor_Row_Data!P:P,Sheet2!B38)</f>
        <v>77800</v>
      </c>
      <c r="F38" s="29">
        <f t="shared" si="3"/>
        <v>0.92461439588688943</v>
      </c>
      <c r="G38" s="29">
        <f t="shared" si="4"/>
        <v>0.26726446339229093</v>
      </c>
    </row>
    <row r="39" spans="2:9" x14ac:dyDescent="0.3">
      <c r="B39" s="13" t="s">
        <v>987</v>
      </c>
      <c r="C39" s="15">
        <f>SUMIFS(Distributor_Row_Data!H:H,Distributor_Row_Data!P:P,Sheet2!B39)</f>
        <v>109742</v>
      </c>
      <c r="D39" s="14">
        <f>COUNTIFS(Distributor_Row_Data!P:P,Sheet2!B39)</f>
        <v>23</v>
      </c>
      <c r="E39" s="15">
        <f>SUMIFS(Distributor_Row_Data!I:I,Distributor_Row_Data!P:P,Sheet2!B39)</f>
        <v>114500</v>
      </c>
      <c r="F39" s="29">
        <f t="shared" si="3"/>
        <v>0.95844541484716161</v>
      </c>
      <c r="G39" s="29">
        <f t="shared" si="4"/>
        <v>0.52557169667060544</v>
      </c>
    </row>
    <row r="40" spans="2:9" x14ac:dyDescent="0.3">
      <c r="B40" s="13" t="s">
        <v>988</v>
      </c>
      <c r="C40" s="15">
        <f>SUMIFS(Distributor_Row_Data!H:H,Distributor_Row_Data!P:P,Sheet2!B40)</f>
        <v>22330</v>
      </c>
      <c r="D40" s="14">
        <f>COUNTIFS(Distributor_Row_Data!P:P,Sheet2!B40)</f>
        <v>7</v>
      </c>
      <c r="E40" s="15">
        <f>SUMIFS(Distributor_Row_Data!I:I,Distributor_Row_Data!P:P,Sheet2!B40)</f>
        <v>20100</v>
      </c>
      <c r="F40" s="29">
        <f t="shared" si="3"/>
        <v>1.1109452736318408</v>
      </c>
      <c r="G40" s="29">
        <f t="shared" si="4"/>
        <v>-0.79652275336698808</v>
      </c>
    </row>
    <row r="41" spans="2:9" x14ac:dyDescent="0.3">
      <c r="B41" s="13" t="s">
        <v>989</v>
      </c>
      <c r="C41" s="15">
        <f>SUMIFS(Distributor_Row_Data!H:H,Distributor_Row_Data!P:P,Sheet2!B41)</f>
        <v>62306</v>
      </c>
      <c r="D41" s="14">
        <f>COUNTIFS(Distributor_Row_Data!P:P,Sheet2!B41)</f>
        <v>18</v>
      </c>
      <c r="E41" s="15">
        <f>SUMIFS(Distributor_Row_Data!I:I,Distributor_Row_Data!P:P,Sheet2!B41)</f>
        <v>64600</v>
      </c>
      <c r="F41" s="29">
        <f t="shared" si="3"/>
        <v>0.96448916408668728</v>
      </c>
      <c r="G41" s="29">
        <f t="shared" si="4"/>
        <v>1.7902373488580383</v>
      </c>
    </row>
    <row r="42" spans="2:9" x14ac:dyDescent="0.3">
      <c r="B42" s="13" t="s">
        <v>990</v>
      </c>
      <c r="C42" s="15">
        <f>SUMIFS(Distributor_Row_Data!H:H,Distributor_Row_Data!P:P,Sheet2!B42)</f>
        <v>65273</v>
      </c>
      <c r="D42" s="14">
        <f>COUNTIFS(Distributor_Row_Data!P:P,Sheet2!B42)</f>
        <v>15</v>
      </c>
      <c r="E42" s="15">
        <f>SUMIFS(Distributor_Row_Data!I:I,Distributor_Row_Data!P:P,Sheet2!B42)</f>
        <v>65600</v>
      </c>
      <c r="F42" s="29">
        <f t="shared" si="3"/>
        <v>0.99501524390243901</v>
      </c>
      <c r="G42" s="29">
        <f t="shared" si="4"/>
        <v>4.7619811896125519E-2</v>
      </c>
    </row>
    <row r="43" spans="2:9" x14ac:dyDescent="0.3">
      <c r="B43" s="13" t="s">
        <v>991</v>
      </c>
      <c r="C43" s="15">
        <f>SUMIFS(Distributor_Row_Data!H:H,Distributor_Row_Data!P:P,Sheet2!B43)</f>
        <v>83572</v>
      </c>
      <c r="D43" s="14">
        <f>COUNTIFS(Distributor_Row_Data!P:P,Sheet2!B43)</f>
        <v>21</v>
      </c>
      <c r="E43" s="15">
        <f>SUMIFS(Distributor_Row_Data!I:I,Distributor_Row_Data!P:P,Sheet2!B43)</f>
        <v>88300</v>
      </c>
      <c r="F43" s="29">
        <f t="shared" si="3"/>
        <v>0.94645526613816533</v>
      </c>
      <c r="G43" s="29">
        <f t="shared" si="4"/>
        <v>0.28034562529683016</v>
      </c>
    </row>
    <row r="46" spans="2:9" ht="25.8" x14ac:dyDescent="0.3">
      <c r="B46" s="21" t="s">
        <v>992</v>
      </c>
      <c r="C46" s="22"/>
      <c r="D46" s="22"/>
      <c r="E46" s="22"/>
      <c r="F46" s="22"/>
      <c r="G46" s="22"/>
      <c r="H46" s="22"/>
      <c r="I46" s="22"/>
    </row>
    <row r="47" spans="2:9" x14ac:dyDescent="0.3">
      <c r="B47" s="31" t="s">
        <v>993</v>
      </c>
      <c r="C47" s="31" t="s">
        <v>7</v>
      </c>
      <c r="D47" s="31" t="s">
        <v>971</v>
      </c>
      <c r="E47" s="31" t="s">
        <v>8</v>
      </c>
      <c r="F47" s="31" t="s">
        <v>972</v>
      </c>
      <c r="G47" s="31" t="s">
        <v>994</v>
      </c>
      <c r="H47" s="31" t="s">
        <v>995</v>
      </c>
    </row>
    <row r="48" spans="2:9" x14ac:dyDescent="0.3">
      <c r="B48" s="23" t="s">
        <v>996</v>
      </c>
      <c r="C48" s="25">
        <f>SUMIFS(Distributor_Row_Data!H:H,Distributor_Row_Data!O:O,Sheet2!B48)</f>
        <v>282152</v>
      </c>
      <c r="D48" s="24">
        <f>COUNTIFS(Distributor_Row_Data!O:O,Sheet2!B48)</f>
        <v>91</v>
      </c>
      <c r="E48" s="32">
        <f>SUMIFS(Distributor_Row_Data!I:I,Distributor_Row_Data!O:O,Sheet2!B48)</f>
        <v>284600</v>
      </c>
      <c r="F48" s="26">
        <f>IFERROR(C48/E48,0)</f>
        <v>0.99139845397048487</v>
      </c>
      <c r="G48" s="27" t="str">
        <f>IFERROR(C48/C47-1,"")</f>
        <v/>
      </c>
      <c r="H48" s="32">
        <f>IF(LEFT($B48,4)=LEFT($B47,4),H47+C48,C48)</f>
        <v>282152</v>
      </c>
    </row>
    <row r="49" spans="2:9" x14ac:dyDescent="0.3">
      <c r="B49" s="23" t="s">
        <v>997</v>
      </c>
      <c r="C49" s="25">
        <f>SUMIFS(Distributor_Row_Data!H:H,Distributor_Row_Data!O:O,Sheet2!B49)</f>
        <v>301066</v>
      </c>
      <c r="D49" s="24">
        <f>COUNTIFS(Distributor_Row_Data!O:O,Sheet2!B49)</f>
        <v>81</v>
      </c>
      <c r="E49" s="32">
        <f>SUMIFS(Distributor_Row_Data!I:I,Distributor_Row_Data!O:O,Sheet2!B49)</f>
        <v>310000</v>
      </c>
      <c r="F49" s="26">
        <f t="shared" ref="F49:F59" si="5">IFERROR(C49/E49,0)</f>
        <v>0.97118064516129032</v>
      </c>
      <c r="G49" s="26">
        <f>IFERROR(C49/C48-1,"")</f>
        <v>6.7034789758711577E-2</v>
      </c>
      <c r="H49" s="32">
        <f>IF(LEFT($B49,4)=LEFT($B48,4),H48+C49,C49)</f>
        <v>583218</v>
      </c>
    </row>
    <row r="50" spans="2:9" x14ac:dyDescent="0.3">
      <c r="B50" s="23" t="s">
        <v>998</v>
      </c>
      <c r="C50" s="25">
        <f>SUMIFS(Distributor_Row_Data!H:H,Distributor_Row_Data!O:O,Sheet2!B50)</f>
        <v>275485</v>
      </c>
      <c r="D50" s="24">
        <f>COUNTIFS(Distributor_Row_Data!O:O,Sheet2!B50)</f>
        <v>83</v>
      </c>
      <c r="E50" s="32">
        <f>SUMIFS(Distributor_Row_Data!I:I,Distributor_Row_Data!O:O,Sheet2!B50)</f>
        <v>286000</v>
      </c>
      <c r="F50" s="26">
        <f t="shared" si="5"/>
        <v>0.96323426573426574</v>
      </c>
      <c r="G50" s="26">
        <f t="shared" ref="G50:G59" si="6">IFERROR(C50/C49-1,"")</f>
        <v>-8.4968080088751341E-2</v>
      </c>
      <c r="H50" s="32">
        <f t="shared" ref="H50:H59" si="7">IF(LEFT($B50,4)=LEFT($B49,4),H49+C50,C50)</f>
        <v>858703</v>
      </c>
    </row>
    <row r="51" spans="2:9" x14ac:dyDescent="0.3">
      <c r="B51" s="23" t="s">
        <v>999</v>
      </c>
      <c r="C51" s="25">
        <f>SUMIFS(Distributor_Row_Data!H:H,Distributor_Row_Data!O:O,Sheet2!B51)</f>
        <v>280214</v>
      </c>
      <c r="D51" s="24">
        <f>COUNTIF(Distributor_Row_Data!O:O,Sheet2!B51)</f>
        <v>76</v>
      </c>
      <c r="E51" s="32">
        <f>SUMIFS(Distributor_Row_Data!I:I,Distributor_Row_Data!O:O,Sheet2!B51)</f>
        <v>279200</v>
      </c>
      <c r="F51" s="26">
        <f t="shared" si="5"/>
        <v>1.0036318051575932</v>
      </c>
      <c r="G51" s="26">
        <f t="shared" si="6"/>
        <v>1.7166088897762055E-2</v>
      </c>
      <c r="H51" s="32">
        <f t="shared" si="7"/>
        <v>280214</v>
      </c>
    </row>
    <row r="52" spans="2:9" x14ac:dyDescent="0.3">
      <c r="B52" s="23" t="s">
        <v>1000</v>
      </c>
      <c r="C52" s="25">
        <f>SUMIFS(Distributor_Row_Data!H:H,Distributor_Row_Data!O:O,Sheet2!B52)</f>
        <v>275275</v>
      </c>
      <c r="D52" s="24">
        <f>COUNTIFS(Distributor_Row_Data!O:O,Sheet2!B52)</f>
        <v>67</v>
      </c>
      <c r="E52" s="32">
        <f>SUMIFS(Distributor_Row_Data!I:I,Distributor_Row_Data!O:O,Sheet2!B52)</f>
        <v>281400</v>
      </c>
      <c r="F52" s="26">
        <f t="shared" si="5"/>
        <v>0.97823383084577109</v>
      </c>
      <c r="G52" s="26">
        <f t="shared" si="6"/>
        <v>-1.762581455601786E-2</v>
      </c>
      <c r="H52" s="32">
        <f t="shared" si="7"/>
        <v>555489</v>
      </c>
    </row>
    <row r="53" spans="2:9" x14ac:dyDescent="0.3">
      <c r="B53" s="23" t="s">
        <v>1001</v>
      </c>
      <c r="C53" s="25">
        <f>SUMIFS(Distributor_Row_Data!H:H,Distributor_Row_Data!O:O,Sheet2!B53)</f>
        <v>228811</v>
      </c>
      <c r="D53" s="24">
        <f>COUNTIFS(Distributor_Row_Data!O:O,Sheet2!B53)</f>
        <v>55</v>
      </c>
      <c r="E53" s="32">
        <f>SUMIFS(Distributor_Row_Data!I:I,Distributor_Row_Data!O:O,Sheet2!B53)</f>
        <v>240300</v>
      </c>
      <c r="F53" s="26">
        <f t="shared" si="5"/>
        <v>0.95218893050353726</v>
      </c>
      <c r="G53" s="26">
        <f t="shared" si="6"/>
        <v>-0.16879120879120879</v>
      </c>
      <c r="H53" s="32">
        <f t="shared" si="7"/>
        <v>784300</v>
      </c>
    </row>
    <row r="54" spans="2:9" x14ac:dyDescent="0.3">
      <c r="B54" s="23" t="s">
        <v>1002</v>
      </c>
      <c r="C54" s="25">
        <f>SUMIFS(Distributor_Row_Data!H:H,Distributor_Row_Data!O:O,Sheet2!B54)</f>
        <v>298124</v>
      </c>
      <c r="D54" s="24">
        <f>COUNTIFS(Distributor_Row_Data!O:O,Sheet2!B54)</f>
        <v>74</v>
      </c>
      <c r="E54" s="32">
        <f>SUMIFS(Distributor_Row_Data!I:I,Distributor_Row_Data!O:O,Sheet2!B54)</f>
        <v>299100</v>
      </c>
      <c r="F54" s="26">
        <f t="shared" si="5"/>
        <v>0.99673687729856231</v>
      </c>
      <c r="G54" s="26">
        <f t="shared" si="6"/>
        <v>0.30292686977461747</v>
      </c>
      <c r="H54" s="32">
        <f t="shared" si="7"/>
        <v>1082424</v>
      </c>
    </row>
    <row r="55" spans="2:9" x14ac:dyDescent="0.3">
      <c r="B55" s="23" t="s">
        <v>1003</v>
      </c>
      <c r="C55" s="25">
        <f>SUMIFS(Distributor_Row_Data!H:H,Distributor_Row_Data!O:O,Sheet2!B55)</f>
        <v>326148</v>
      </c>
      <c r="D55" s="24">
        <f>COUNTIFS(Distributor_Row_Data!O:O,Sheet2!B55)</f>
        <v>84</v>
      </c>
      <c r="E55" s="32">
        <f>SUMIFS(Distributor_Row_Data!I:I,Distributor_Row_Data!O:O,Sheet2!B55)</f>
        <v>319200</v>
      </c>
      <c r="F55" s="26">
        <f t="shared" si="5"/>
        <v>1.0217669172932331</v>
      </c>
      <c r="G55" s="26">
        <f t="shared" si="6"/>
        <v>9.4001153882277144E-2</v>
      </c>
      <c r="H55" s="32">
        <f t="shared" si="7"/>
        <v>1408572</v>
      </c>
    </row>
    <row r="56" spans="2:9" x14ac:dyDescent="0.3">
      <c r="B56" s="23" t="s">
        <v>1004</v>
      </c>
      <c r="C56" s="25">
        <f>SUMIFS(Distributor_Row_Data!H:H,Distributor_Row_Data!O:O,Sheet2!B56)</f>
        <v>323993</v>
      </c>
      <c r="D56" s="24">
        <f>COUNTIFS(Distributor_Row_Data!O:O,Sheet2!B56)</f>
        <v>82</v>
      </c>
      <c r="E56" s="32">
        <f>SUMIFS(Distributor_Row_Data!I:I,Distributor_Row_Data!O:O,Sheet2!B56)</f>
        <v>331100</v>
      </c>
      <c r="F56" s="26">
        <f t="shared" si="5"/>
        <v>0.97853518574448806</v>
      </c>
      <c r="G56" s="26">
        <f t="shared" si="6"/>
        <v>-6.6074297558164075E-3</v>
      </c>
      <c r="H56" s="32">
        <f t="shared" si="7"/>
        <v>1732565</v>
      </c>
    </row>
    <row r="57" spans="2:9" x14ac:dyDescent="0.3">
      <c r="B57" s="23" t="s">
        <v>1005</v>
      </c>
      <c r="C57" s="25">
        <f>SUMIFS(Distributor_Row_Data!H:H,Distributor_Row_Data!O:O,Sheet2!B57)</f>
        <v>346056</v>
      </c>
      <c r="D57" s="24">
        <f>COUNTIFS(Distributor_Row_Data!O:O,Sheet2!B57)</f>
        <v>89</v>
      </c>
      <c r="E57" s="32">
        <f>SUMIFS(Distributor_Row_Data!I:I,Distributor_Row_Data!O:O,Sheet2!B57)</f>
        <v>362100</v>
      </c>
      <c r="F57" s="26">
        <f t="shared" si="5"/>
        <v>0.95569179784589897</v>
      </c>
      <c r="G57" s="26">
        <f t="shared" si="6"/>
        <v>6.8097150247073301E-2</v>
      </c>
      <c r="H57" s="32">
        <f t="shared" si="7"/>
        <v>2078621</v>
      </c>
    </row>
    <row r="58" spans="2:9" x14ac:dyDescent="0.3">
      <c r="B58" s="23" t="s">
        <v>1006</v>
      </c>
      <c r="C58" s="25">
        <f>SUMIFS(Distributor_Row_Data!H:H,Distributor_Row_Data!O:O,Sheet2!B58)</f>
        <v>271685</v>
      </c>
      <c r="D58" s="24">
        <f>COUNTIFS(Distributor_Row_Data!O:O,Sheet2!B58)</f>
        <v>65</v>
      </c>
      <c r="E58" s="32">
        <f>SUMIFS(Distributor_Row_Data!I:I,Distributor_Row_Data!O:O,Sheet2!B58)</f>
        <v>282400</v>
      </c>
      <c r="F58" s="26">
        <f t="shared" si="5"/>
        <v>0.96205736543909348</v>
      </c>
      <c r="G58" s="26">
        <f t="shared" si="6"/>
        <v>-0.21491030353468799</v>
      </c>
      <c r="H58" s="32">
        <f t="shared" si="7"/>
        <v>2350306</v>
      </c>
    </row>
    <row r="59" spans="2:9" x14ac:dyDescent="0.3">
      <c r="B59" s="23" t="s">
        <v>1007</v>
      </c>
      <c r="C59" s="25">
        <f>SUMIFS(Distributor_Row_Data!H:H,Distributor_Row_Data!O:O,Sheet2!B59)</f>
        <v>210353</v>
      </c>
      <c r="D59" s="24">
        <f>COUNTIFS(Distributor_Row_Data!O:O,Sheet2!B59)</f>
        <v>53</v>
      </c>
      <c r="E59" s="32">
        <f>SUMIFS(Distributor_Row_Data!I:I,Distributor_Row_Data!O:O,Sheet2!B59)</f>
        <v>217800</v>
      </c>
      <c r="F59" s="26">
        <f t="shared" si="5"/>
        <v>0.96580808080808078</v>
      </c>
      <c r="G59" s="26">
        <f t="shared" si="6"/>
        <v>-0.22574672874836665</v>
      </c>
      <c r="H59" s="32">
        <f t="shared" si="7"/>
        <v>2560659</v>
      </c>
    </row>
    <row r="61" spans="2:9" ht="25.8" x14ac:dyDescent="0.3">
      <c r="B61" s="21" t="s">
        <v>1009</v>
      </c>
      <c r="C61" s="22"/>
      <c r="D61" s="22"/>
      <c r="E61" s="22"/>
      <c r="F61" s="22"/>
      <c r="G61" s="22"/>
      <c r="H61" s="22"/>
      <c r="I61" s="22"/>
    </row>
    <row r="62" spans="2:9" ht="26.4" x14ac:dyDescent="0.3">
      <c r="B62" s="31" t="s">
        <v>3</v>
      </c>
      <c r="C62" s="31" t="s">
        <v>7</v>
      </c>
      <c r="D62" s="31" t="s">
        <v>973</v>
      </c>
      <c r="E62" s="31" t="s">
        <v>971</v>
      </c>
      <c r="F62" s="31" t="s">
        <v>1008</v>
      </c>
      <c r="G62" s="33"/>
      <c r="H62" s="33"/>
    </row>
    <row r="63" spans="2:9" x14ac:dyDescent="0.3">
      <c r="B63" s="24" t="s">
        <v>13</v>
      </c>
      <c r="C63" s="32">
        <f>SUMIFS(Distributor_Row_Data!H:H,Distributor_Row_Data!D:D,Sheet2!B63)</f>
        <v>186192</v>
      </c>
      <c r="D63" s="26">
        <f t="shared" ref="D63:D68" si="8">IFERROR(C63/SUM($C$63:$C$68),0)</f>
        <v>5.4452263316957961E-2</v>
      </c>
      <c r="E63" s="24">
        <f>COUNTIFS(Distributor_Row_Data!D:D,Sheet2!B63)</f>
        <v>53</v>
      </c>
      <c r="F63" s="24">
        <f>COUNTIFS(Distributor_Row_Data!D:D,Sheet2!B63,Distributor_Row_Data!J:J,"Pending")</f>
        <v>12</v>
      </c>
    </row>
    <row r="64" spans="2:9" x14ac:dyDescent="0.3">
      <c r="B64" s="24" t="s">
        <v>19</v>
      </c>
      <c r="C64" s="32">
        <f>SUMIFS(Distributor_Row_Data!H:H,Distributor_Row_Data!D:D,Sheet2!B64)</f>
        <v>728241</v>
      </c>
      <c r="D64" s="26">
        <f t="shared" si="8"/>
        <v>0.21297569546599629</v>
      </c>
      <c r="E64" s="24">
        <f>COUNTIFS(Distributor_Row_Data!D:D,Sheet2!B64)</f>
        <v>191</v>
      </c>
      <c r="F64" s="24">
        <f>COUNTIFS(Distributor_Row_Data!D:D,Sheet2!B64,Distributor_Row_Data!J:J,"Pending")</f>
        <v>14</v>
      </c>
    </row>
    <row r="65" spans="2:9" x14ac:dyDescent="0.3">
      <c r="B65" s="24" t="s">
        <v>26</v>
      </c>
      <c r="C65" s="32">
        <f>SUMIFS(Distributor_Row_Data!H:H,Distributor_Row_Data!D:D,Sheet2!B65)</f>
        <v>1194010</v>
      </c>
      <c r="D65" s="26">
        <f t="shared" si="8"/>
        <v>0.34919087244930486</v>
      </c>
      <c r="E65" s="24">
        <f>COUNTIFS(Distributor_Row_Data!D:D,Sheet2!B65)</f>
        <v>310</v>
      </c>
      <c r="F65" s="24">
        <f>COUNTIFS(Distributor_Row_Data!D:D,Sheet2!B65,Distributor_Row_Data!J:J,"Pending")</f>
        <v>28</v>
      </c>
    </row>
    <row r="66" spans="2:9" x14ac:dyDescent="0.3">
      <c r="B66" s="24" t="s">
        <v>47</v>
      </c>
      <c r="C66" s="32">
        <f>SUMIFS(Distributor_Row_Data!H:H,Distributor_Row_Data!D:D,Sheet2!B66)</f>
        <v>301327</v>
      </c>
      <c r="D66" s="26">
        <f t="shared" si="8"/>
        <v>8.8123749401204085E-2</v>
      </c>
      <c r="E66" s="24">
        <f>COUNTIFS(Distributor_Row_Data!D:D,Sheet2!B66)</f>
        <v>83</v>
      </c>
      <c r="F66" s="24">
        <f>COUNTIFS(Distributor_Row_Data!D:D,Sheet2!B66,Distributor_Row_Data!J:J,"Pending")</f>
        <v>4</v>
      </c>
    </row>
    <row r="67" spans="2:9" x14ac:dyDescent="0.3">
      <c r="B67" s="24" t="s">
        <v>53</v>
      </c>
      <c r="C67" s="32">
        <f>SUMIFS(Distributor_Row_Data!H:H,Distributor_Row_Data!D:D,Sheet2!B67)</f>
        <v>604113</v>
      </c>
      <c r="D67" s="26">
        <f t="shared" si="8"/>
        <v>0.17667418658802431</v>
      </c>
      <c r="E67" s="24">
        <f>COUNTIFS(Distributor_Row_Data!D:D,Sheet2!B67)</f>
        <v>166</v>
      </c>
      <c r="F67" s="24">
        <f>COUNTIFS(Distributor_Row_Data!D:D,Sheet2!B67,Distributor_Row_Data!J:J,"Pending")</f>
        <v>20</v>
      </c>
    </row>
    <row r="68" spans="2:9" x14ac:dyDescent="0.3">
      <c r="B68" s="24" t="s">
        <v>65</v>
      </c>
      <c r="C68" s="32">
        <f>SUMIFS(Distributor_Row_Data!H:H,Distributor_Row_Data!D:D,Sheet2!B68)</f>
        <v>405479</v>
      </c>
      <c r="D68" s="26">
        <f t="shared" si="8"/>
        <v>0.11858323277851249</v>
      </c>
      <c r="E68" s="24">
        <f>COUNTIFS(Distributor_Row_Data!D:D,Sheet2!B68)</f>
        <v>97</v>
      </c>
      <c r="F68" s="24">
        <f>COUNTIFS(Distributor_Row_Data!D:D,Sheet2!B68,Distributor_Row_Data!J:J,"Pending")</f>
        <v>31</v>
      </c>
    </row>
    <row r="69" spans="2:9" x14ac:dyDescent="0.3">
      <c r="B69" s="24"/>
      <c r="C69" s="24"/>
      <c r="D69" s="24"/>
      <c r="E69" s="24"/>
      <c r="F69" s="24"/>
    </row>
    <row r="71" spans="2:9" ht="25.8" x14ac:dyDescent="0.3">
      <c r="B71" s="21" t="s">
        <v>1011</v>
      </c>
      <c r="C71" s="22"/>
      <c r="D71" s="22"/>
      <c r="E71" s="22"/>
      <c r="F71" s="22"/>
      <c r="G71" s="22"/>
      <c r="H71" s="22"/>
      <c r="I71" s="22"/>
    </row>
    <row r="72" spans="2:9" x14ac:dyDescent="0.3">
      <c r="B72" s="31" t="s">
        <v>5</v>
      </c>
      <c r="C72" s="31" t="s">
        <v>7</v>
      </c>
      <c r="D72" s="31" t="s">
        <v>973</v>
      </c>
      <c r="E72" s="31" t="s">
        <v>971</v>
      </c>
      <c r="F72" s="31" t="s">
        <v>1010</v>
      </c>
      <c r="G72" s="33"/>
      <c r="H72" s="33"/>
    </row>
    <row r="73" spans="2:9" x14ac:dyDescent="0.3">
      <c r="B73" s="24" t="s">
        <v>15</v>
      </c>
      <c r="C73" s="32">
        <f>SUMIFS(Distributor_Row_Data!H:H,Distributor_Row_Data!F:F,Sheet2!B73)</f>
        <v>1014823</v>
      </c>
      <c r="D73" s="26">
        <f>IFERROR(C73/SUM($C$73:$C$76),0)</f>
        <v>0.29678723691729625</v>
      </c>
      <c r="E73" s="24">
        <f>COUNTIFS(Distributor_Row_Data!F:F,B73)</f>
        <v>298</v>
      </c>
      <c r="F73" s="25">
        <f>IFERROR(C73/E73,0)</f>
        <v>3405.4463087248323</v>
      </c>
    </row>
    <row r="74" spans="2:9" x14ac:dyDescent="0.3">
      <c r="B74" s="24" t="s">
        <v>21</v>
      </c>
      <c r="C74" s="32">
        <f>SUMIFS(Distributor_Row_Data!H:H,Distributor_Row_Data!F:F,Sheet2!B74)</f>
        <v>687356</v>
      </c>
      <c r="D74" s="26">
        <f t="shared" ref="D74:D76" si="9">IFERROR(C74/SUM($C$73:$C$76),0)</f>
        <v>0.20101878654556024</v>
      </c>
      <c r="E74" s="24">
        <f>COUNTIFS(Distributor_Row_Data!F:F,B74)</f>
        <v>271</v>
      </c>
      <c r="F74" s="25">
        <f t="shared" ref="F74:F76" si="10">IFERROR(C74/E74,0)</f>
        <v>2536.3690036900371</v>
      </c>
    </row>
    <row r="75" spans="2:9" x14ac:dyDescent="0.3">
      <c r="B75" s="24" t="s">
        <v>34</v>
      </c>
      <c r="C75" s="32">
        <f>SUMIFS(Distributor_Row_Data!H:H,Distributor_Row_Data!F:F,Sheet2!B75)</f>
        <v>765495</v>
      </c>
      <c r="D75" s="26">
        <f t="shared" si="9"/>
        <v>0.2238707103839839</v>
      </c>
      <c r="E75" s="24">
        <f>COUNTIFS(Distributor_Row_Data!F:F,B75)</f>
        <v>183</v>
      </c>
      <c r="F75" s="25">
        <f t="shared" si="10"/>
        <v>4183.0327868852455</v>
      </c>
    </row>
    <row r="76" spans="2:9" x14ac:dyDescent="0.3">
      <c r="B76" s="24" t="s">
        <v>59</v>
      </c>
      <c r="C76" s="32">
        <f>SUMIFS(Distributor_Row_Data!H:H,Distributor_Row_Data!F:F,Sheet2!B76)</f>
        <v>951688</v>
      </c>
      <c r="D76" s="26">
        <f t="shared" si="9"/>
        <v>0.27832326615315955</v>
      </c>
      <c r="E76" s="24">
        <f>COUNTIFS(Distributor_Row_Data!F:F,B76)</f>
        <v>148</v>
      </c>
      <c r="F76" s="25">
        <f t="shared" si="10"/>
        <v>6430.3243243243242</v>
      </c>
    </row>
    <row r="78" spans="2:9" ht="21" customHeight="1" x14ac:dyDescent="0.3">
      <c r="B78" s="35" t="s">
        <v>1012</v>
      </c>
      <c r="C78" s="36"/>
      <c r="D78" s="36"/>
      <c r="E78" s="34"/>
      <c r="F78" s="34"/>
      <c r="G78" s="34"/>
      <c r="H78" s="34"/>
      <c r="I78" s="34"/>
    </row>
    <row r="79" spans="2:9" x14ac:dyDescent="0.3">
      <c r="B79" t="s">
        <v>1013</v>
      </c>
    </row>
    <row r="80" spans="2:9" x14ac:dyDescent="0.3">
      <c r="B80" t="s">
        <v>1014</v>
      </c>
    </row>
    <row r="81" spans="2:2" x14ac:dyDescent="0.3">
      <c r="B81" t="s">
        <v>1015</v>
      </c>
    </row>
    <row r="82" spans="2:2" x14ac:dyDescent="0.3">
      <c r="B82" t="s">
        <v>1016</v>
      </c>
    </row>
    <row r="83" spans="2:2" x14ac:dyDescent="0.3">
      <c r="B83" t="s">
        <v>1017</v>
      </c>
    </row>
  </sheetData>
  <phoneticPr fontId="1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986691-A5CC-453F-997A-5CAC64729E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Distributor_Row_Data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Kaif</dc:creator>
  <cp:lastModifiedBy>Md Kaif</cp:lastModifiedBy>
  <dcterms:created xsi:type="dcterms:W3CDTF">2026-09-21T12:56:31Z</dcterms:created>
  <dcterms:modified xsi:type="dcterms:W3CDTF">2026-10-07T01:10:09Z</dcterms:modified>
</cp:coreProperties>
</file>